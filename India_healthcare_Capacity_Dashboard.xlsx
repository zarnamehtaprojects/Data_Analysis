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tables/table8.xml" ContentType="application/vnd.openxmlformats-officedocument.spreadsheetml.table+xml"/>
  <Override PartName="/xl/queryTables/queryTable8.xml" ContentType="application/vnd.openxmlformats-officedocument.spreadsheetml.queryTable+xml"/>
  <Override PartName="/xl/tables/table9.xml" ContentType="application/vnd.openxmlformats-officedocument.spreadsheetml.table+xml"/>
  <Override PartName="/xl/queryTables/queryTable9.xml" ContentType="application/vnd.openxmlformats-officedocument.spreadsheetml.queryTable+xml"/>
  <Override PartName="/xl/tables/table10.xml" ContentType="application/vnd.openxmlformats-officedocument.spreadsheetml.table+xml"/>
  <Override PartName="/xl/tables/table1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202300"/>
  <mc:AlternateContent xmlns:mc="http://schemas.openxmlformats.org/markup-compatibility/2006">
    <mc:Choice Requires="x15">
      <x15ac:absPath xmlns:x15ac="http://schemas.microsoft.com/office/spreadsheetml/2010/11/ac" url="https://d.docs.live.net/d0d1d232b5f687b8/Desktop/Projects/Excel_projects/"/>
    </mc:Choice>
  </mc:AlternateContent>
  <xr:revisionPtr revIDLastSave="0" documentId="13_ncr:1_{E71B572F-B58B-4F51-BDC3-1D6C93E06356}" xr6:coauthVersionLast="47" xr6:coauthVersionMax="47" xr10:uidLastSave="{00000000-0000-0000-0000-000000000000}"/>
  <bookViews>
    <workbookView xWindow="-108" yWindow="-108" windowWidth="23256" windowHeight="12456" activeTab="3" xr2:uid="{00000000-000D-0000-FFFF-FFFF00000000}"/>
  </bookViews>
  <sheets>
    <sheet name="All Cleaned Data" sheetId="22" r:id="rId1"/>
    <sheet name="Analysis" sheetId="27" r:id="rId2"/>
    <sheet name="BRD" sheetId="23" r:id="rId3"/>
    <sheet name="Dashboard" sheetId="26" r:id="rId4"/>
    <sheet name="Doctors_Count1" sheetId="20" r:id="rId5"/>
    <sheet name="Dengue_Cases (2)" sheetId="19" r:id="rId6"/>
    <sheet name="Dengue_Cases" sheetId="18" r:id="rId7"/>
    <sheet name="Pivot" sheetId="29" r:id="rId8"/>
    <sheet name="Pivot2" sheetId="30" r:id="rId9"/>
    <sheet name="Population (2)" sheetId="17" r:id="rId10"/>
    <sheet name="Population" sheetId="16" r:id="rId11"/>
    <sheet name="Table1_1 (3)" sheetId="21" r:id="rId12"/>
    <sheet name="State_mapping" sheetId="14" r:id="rId13"/>
    <sheet name="Hospitals_Beds_Count" sheetId="15" r:id="rId14"/>
    <sheet name="Table1" sheetId="12" r:id="rId15"/>
    <sheet name="Hospitals_and_beds in India" sheetId="1" r:id="rId16"/>
    <sheet name="Sheet2" sheetId="24" r:id="rId17"/>
  </sheets>
  <definedNames>
    <definedName name="_xlnm._FilterDatabase" localSheetId="1" hidden="1">Analysis!$G$131:$G$165</definedName>
    <definedName name="ExternalData_1" localSheetId="13" hidden="1">Hospitals_Beds_Count!$A$1:$C$37</definedName>
    <definedName name="ExternalData_1" localSheetId="14" hidden="1">Table1!$A$1:$C$37</definedName>
    <definedName name="ExternalData_2" localSheetId="12" hidden="1">State_mapping!$A$1:$B$64</definedName>
    <definedName name="ExternalData_3" localSheetId="10" hidden="1">Population!$A$1:$C$36</definedName>
    <definedName name="ExternalData_3" localSheetId="11" hidden="1">'Table1_1 (3)'!$A$1:$B$64</definedName>
    <definedName name="ExternalData_4" localSheetId="9" hidden="1">'Population (2)'!$A$1:$I$36</definedName>
    <definedName name="ExternalData_5" localSheetId="0" hidden="1">'All Cleaned Data'!$A$1:$M$36</definedName>
    <definedName name="ExternalData_5" localSheetId="6" hidden="1">Dengue_Cases!$A$1:$C$37</definedName>
    <definedName name="ExternalData_6" localSheetId="5" hidden="1">'Dengue_Cases (2)'!$A$1:$C$37</definedName>
    <definedName name="ExternalData_7" localSheetId="4" hidden="1">Doctors_Count1!$A$1:$C$37</definedName>
    <definedName name="Slicer_States">#N/A</definedName>
  </definedNames>
  <calcPr calcId="191029"/>
  <pivotCaches>
    <pivotCache cacheId="4" r:id="rId18"/>
  </pivotCaches>
  <extLst>
    <ext xmlns:x14="http://schemas.microsoft.com/office/spreadsheetml/2009/9/main" uri="{BBE1A952-AA13-448e-AADC-164F8A28A991}">
      <x14:slicerCaches>
        <x14:slicerCache r:id="rId1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 i="22" l="1"/>
  <c r="N3" i="22"/>
  <c r="N4" i="22"/>
  <c r="N5" i="22"/>
  <c r="N6" i="22"/>
  <c r="N7" i="22"/>
  <c r="N8" i="22"/>
  <c r="N9" i="22"/>
  <c r="N10" i="22"/>
  <c r="N11" i="22"/>
  <c r="N12" i="22"/>
  <c r="N13" i="22"/>
  <c r="N14" i="22"/>
  <c r="N15" i="22"/>
  <c r="N16" i="22"/>
  <c r="N17" i="22"/>
  <c r="N18" i="22"/>
  <c r="N19" i="22"/>
  <c r="N20" i="22"/>
  <c r="N21" i="22"/>
  <c r="N22" i="22"/>
  <c r="N23" i="22"/>
  <c r="N24" i="22"/>
  <c r="N25" i="22"/>
  <c r="N26" i="22"/>
  <c r="N27" i="22"/>
  <c r="N28" i="22"/>
  <c r="N29" i="22"/>
  <c r="N30" i="22"/>
  <c r="N31" i="22"/>
  <c r="N32" i="22"/>
  <c r="N33" i="22"/>
  <c r="N34" i="22"/>
  <c r="N35" i="22"/>
  <c r="N36" i="22"/>
  <c r="O2" i="22"/>
  <c r="O3" i="22"/>
  <c r="O4" i="22"/>
  <c r="O5" i="22"/>
  <c r="O6" i="22"/>
  <c r="O7" i="22"/>
  <c r="O8" i="22"/>
  <c r="O9" i="22"/>
  <c r="O10" i="22"/>
  <c r="O11" i="22"/>
  <c r="O12" i="22"/>
  <c r="O13" i="22"/>
  <c r="O14" i="22"/>
  <c r="O15" i="22"/>
  <c r="O16" i="22"/>
  <c r="O17" i="22"/>
  <c r="O18" i="22"/>
  <c r="O19" i="22"/>
  <c r="O20" i="22"/>
  <c r="O21" i="22"/>
  <c r="O22" i="22"/>
  <c r="O23" i="22"/>
  <c r="O24" i="22"/>
  <c r="O25" i="22"/>
  <c r="O26" i="22"/>
  <c r="O27" i="22"/>
  <c r="O28" i="22"/>
  <c r="O29" i="22"/>
  <c r="O30" i="22"/>
  <c r="O31" i="22"/>
  <c r="O32" i="22"/>
  <c r="O33" i="22"/>
  <c r="O34" i="22"/>
  <c r="O35" i="22"/>
  <c r="O36" i="22"/>
  <c r="P2" i="22"/>
  <c r="P3" i="22"/>
  <c r="P4" i="22"/>
  <c r="P5" i="22"/>
  <c r="P6" i="22"/>
  <c r="P7" i="22"/>
  <c r="P8" i="22"/>
  <c r="P9" i="22"/>
  <c r="P10" i="22"/>
  <c r="P11" i="22"/>
  <c r="P12" i="22"/>
  <c r="P13" i="22"/>
  <c r="P14" i="22"/>
  <c r="P15" i="22"/>
  <c r="P16" i="22"/>
  <c r="P17" i="22"/>
  <c r="P18" i="22"/>
  <c r="P19" i="22"/>
  <c r="P20" i="22"/>
  <c r="P21" i="22"/>
  <c r="P22" i="22"/>
  <c r="P23" i="22"/>
  <c r="P24" i="22"/>
  <c r="P25" i="22"/>
  <c r="P26" i="22"/>
  <c r="P27" i="22"/>
  <c r="P28" i="22"/>
  <c r="P29" i="22"/>
  <c r="P30" i="22"/>
  <c r="P31" i="22"/>
  <c r="P32" i="22"/>
  <c r="P33" i="22"/>
  <c r="P34" i="22"/>
  <c r="P35" i="22"/>
  <c r="P36" i="22"/>
  <c r="E140" i="27"/>
  <c r="E141" i="27"/>
  <c r="E142" i="27"/>
  <c r="E143" i="27"/>
  <c r="E139" i="27"/>
  <c r="G8" i="27"/>
  <c r="F8" i="27"/>
  <c r="D8" i="27"/>
  <c r="C8" i="27"/>
  <c r="I142" i="27"/>
  <c r="I141" i="27"/>
  <c r="I143" i="27"/>
  <c r="I139" i="27"/>
  <c r="I140" i="27"/>
  <c r="H140" i="27"/>
  <c r="H142" i="27"/>
  <c r="H143" i="27"/>
  <c r="H139" i="27"/>
  <c r="H141" i="27"/>
  <c r="G143" i="27"/>
  <c r="G141" i="27"/>
  <c r="G140" i="27"/>
  <c r="G139" i="27"/>
  <c r="G142" i="27"/>
  <c r="F142" i="27"/>
  <c r="F141" i="27"/>
  <c r="F143" i="27"/>
  <c r="F140" i="27"/>
  <c r="F139" i="27"/>
  <c r="E8" i="27"/>
  <c r="B8" i="2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762A62B-1E71-43BB-87DD-B679E5DE2F20}" keepAlive="1" name="Query - Dengue_Cases" description="Connection to the 'Dengue_Cases' query in the workbook." type="5" refreshedVersion="8" background="1" saveData="1">
    <dbPr connection="Provider=Microsoft.Mashup.OleDb.1;Data Source=$Workbook$;Location=Dengue_Cases;Extended Properties=&quot;&quot;" command="SELECT * FROM [Dengue_Cases]"/>
  </connection>
  <connection id="2" xr16:uid="{4DAE0867-55EA-46E1-B97B-CFF1D80F7318}" keepAlive="1" name="Query - Dengue_Cases (2)" description="Connection to the 'Dengue_Cases (2)' query in the workbook." type="5" refreshedVersion="8" background="1" saveData="1">
    <dbPr connection="Provider=Microsoft.Mashup.OleDb.1;Data Source=$Workbook$;Location=&quot;Dengue_Cases (2)&quot;;Extended Properties=&quot;&quot;" command="SELECT * FROM [Dengue_Cases (2)]"/>
  </connection>
  <connection id="3" xr16:uid="{49FA12F7-8319-4A3F-A39E-1DF376E045D0}" keepAlive="1" name="Query - dengue_cases_in_india" description="Connection to the 'dengue_cases_in_india' query in the workbook." type="5" refreshedVersion="8" background="1" saveData="1">
    <dbPr connection="Provider=Microsoft.Mashup.OleDb.1;Data Source=$Workbook$;Location=dengue_cases_in_india;Extended Properties=&quot;&quot;" command="SELECT * FROM [dengue_cases_in_india]"/>
  </connection>
  <connection id="4" xr16:uid="{5B7E2EC6-9A9A-4299-B4AF-C92F83087AF2}" keepAlive="1" name="Query - Doctors_Count1" description="Connection to the 'Doctors_Count1' query in the workbook." type="5" refreshedVersion="8" background="1" saveData="1">
    <dbPr connection="Provider=Microsoft.Mashup.OleDb.1;Data Source=$Workbook$;Location=Doctors_Count1;Extended Properties=&quot;&quot;" command="SELECT * FROM [Doctors_Count1]"/>
  </connection>
  <connection id="5" xr16:uid="{1E332086-1B7B-402B-8B4F-AAFE2D6BEAC7}" keepAlive="1" name="Query - Hospitals_Beds_Count" description="Connection to the 'Hospitals_Beds_Count' query in the workbook." type="5" refreshedVersion="8" background="1" saveData="1">
    <dbPr connection="Provider=Microsoft.Mashup.OleDb.1;Data Source=$Workbook$;Location=Hospitals_Beds_Count;Extended Properties=&quot;&quot;" command="SELECT * FROM [Hospitals_Beds_Count]"/>
  </connection>
  <connection id="6" xr16:uid="{AF5A603B-19F1-4B38-AA59-F8D2DE634E3B}" keepAlive="1" name="Query - Population (2)" description="Connection to the 'Population (2)' query in the workbook." type="5" refreshedVersion="8" background="1" saveData="1">
    <dbPr connection="Provider=Microsoft.Mashup.OleDb.1;Data Source=$Workbook$;Location=&quot;Population (2)&quot;;Extended Properties=&quot;&quot;" command="SELECT * FROM [Population (2)]"/>
  </connection>
  <connection id="7" xr16:uid="{F3BD575F-0233-4D20-AD96-302E828B426F}" keepAlive="1" name="Query - Population__2" description="Connection to the 'Population__2' query in the workbook." type="5" refreshedVersion="8" background="1" saveData="1">
    <dbPr connection="Provider=Microsoft.Mashup.OleDb.1;Data Source=$Workbook$;Location=Population__2;Extended Properties=&quot;&quot;" command="SELECT * FROM [Population__2]"/>
  </connection>
  <connection id="8" xr16:uid="{7EEE5A8B-A283-447B-A344-B94FFD53F346}" keepAlive="1" name="Query - State_Mapping" description="Connection to the 'State_Mapping' query in the workbook." type="5" refreshedVersion="8" background="1" saveData="1">
    <dbPr connection="Provider=Microsoft.Mashup.OleDb.1;Data Source=$Workbook$;Location=State_Mapping;Extended Properties=&quot;&quot;" command="SELECT * FROM [State_Mapping]"/>
  </connection>
  <connection id="9" xr16:uid="{9A536A56-ABE8-4956-B67D-4576E8619F6A}" keepAlive="1" name="Query - Table1_1" description="Connection to the 'Table1_1' query in the workbook." type="5" refreshedVersion="8" background="1" saveData="1">
    <dbPr connection="Provider=Microsoft.Mashup.OleDb.1;Data Source=$Workbook$;Location=Table1_1;Extended Properties=&quot;&quot;" command="SELECT * FROM [Table1_1]"/>
  </connection>
  <connection id="10" xr16:uid="{9BFB1DD9-2C51-4F2B-8E03-509646D39FBE}" keepAlive="1" name="Query - Table1_1 (2)" description="Connection to the 'Table1_1 (2)' query in the workbook." type="5" refreshedVersion="8" background="1" saveData="1">
    <dbPr connection="Provider=Microsoft.Mashup.OleDb.1;Data Source=$Workbook$;Location=&quot;Table1_1 (2)&quot;;Extended Properties=&quot;&quot;" command="SELECT * FROM [Table1_1 (2)]"/>
  </connection>
  <connection id="11" xr16:uid="{302FD629-C9BA-415F-99CE-945DEF100197}" keepAlive="1" name="Query - Table1_1 (3)" description="Connection to the 'Table1_1 (3)' query in the workbook." type="5" refreshedVersion="8" background="1" saveData="1">
    <dbPr connection="Provider=Microsoft.Mashup.OleDb.1;Data Source=$Workbook$;Location=&quot;Table1_1 (3)&quot;;Extended Properties=&quot;&quot;" command="SELECT * FROM [Table1_1 (3)]"/>
  </connection>
</connections>
</file>

<file path=xl/sharedStrings.xml><?xml version="1.0" encoding="utf-8"?>
<sst xmlns="http://schemas.openxmlformats.org/spreadsheetml/2006/main" count="709" uniqueCount="139">
  <si>
    <t>Srl no.</t>
  </si>
  <si>
    <t>State / UT</t>
  </si>
  <si>
    <t>Number of Hospitals</t>
  </si>
  <si>
    <t>Number of Beds</t>
  </si>
  <si>
    <t>Govt.</t>
  </si>
  <si>
    <t>Local Body</t>
  </si>
  <si>
    <t>Others</t>
  </si>
  <si>
    <t>Total</t>
  </si>
  <si>
    <t>Andhra Pradesh</t>
  </si>
  <si>
    <t>Arunachal Pradesh</t>
  </si>
  <si>
    <t>Assam</t>
  </si>
  <si>
    <t>Bihar</t>
  </si>
  <si>
    <t>Chhattisgarh</t>
  </si>
  <si>
    <t>Delhi</t>
  </si>
  <si>
    <t>Goa</t>
  </si>
  <si>
    <t>Gujarat</t>
  </si>
  <si>
    <t>Haryana</t>
  </si>
  <si>
    <t>Himachal Pradesh</t>
  </si>
  <si>
    <t>Jammu &amp; Kashmir</t>
  </si>
  <si>
    <t>Jharkhand</t>
  </si>
  <si>
    <t>Karnataka</t>
  </si>
  <si>
    <t>Kerala</t>
  </si>
  <si>
    <t>Madhya Pradesh</t>
  </si>
  <si>
    <t>Maharashtra</t>
  </si>
  <si>
    <t>Manipur</t>
  </si>
  <si>
    <t>Meghalaya</t>
  </si>
  <si>
    <t>Mizoram</t>
  </si>
  <si>
    <t>Nagaland</t>
  </si>
  <si>
    <t>Odisha</t>
  </si>
  <si>
    <t>Punjab</t>
  </si>
  <si>
    <t>Rajasthan</t>
  </si>
  <si>
    <t>Sikkim</t>
  </si>
  <si>
    <t>Tamil Nadu</t>
  </si>
  <si>
    <t>Tripura</t>
  </si>
  <si>
    <t>Uttar Pradesh</t>
  </si>
  <si>
    <t>Uttarakhand</t>
  </si>
  <si>
    <t>West Bengal</t>
  </si>
  <si>
    <t>Andaman &amp; Nicobar Islands</t>
  </si>
  <si>
    <t>Chandigarh</t>
  </si>
  <si>
    <t>Dadra &amp;Nagar Haveli</t>
  </si>
  <si>
    <t>Daman &amp;Diu</t>
  </si>
  <si>
    <t>Lakshdweep</t>
  </si>
  <si>
    <t>Puducherry</t>
  </si>
  <si>
    <t>Telangana</t>
  </si>
  <si>
    <t>TOTAL (A)</t>
  </si>
  <si>
    <t>B. CGHS &amp; Central
 Government organizations</t>
  </si>
  <si>
    <t>TOTAL (A+B)</t>
  </si>
  <si>
    <t>Source: Ministry of AYUSH.</t>
  </si>
  <si>
    <t>Column1</t>
  </si>
  <si>
    <t>Column2</t>
  </si>
  <si>
    <t>Column3</t>
  </si>
  <si>
    <t>Column4</t>
  </si>
  <si>
    <t>Column5</t>
  </si>
  <si>
    <t>Column6</t>
  </si>
  <si>
    <t>Column7</t>
  </si>
  <si>
    <t>Column8</t>
  </si>
  <si>
    <t>Column9</t>
  </si>
  <si>
    <t>Column10</t>
  </si>
  <si>
    <t>States</t>
  </si>
  <si>
    <t>State_Varient</t>
  </si>
  <si>
    <t>State_Standerd</t>
  </si>
  <si>
    <t>Andhra</t>
  </si>
  <si>
    <t>Arunachal</t>
  </si>
  <si>
    <t>Chattisgarh</t>
  </si>
  <si>
    <t>Himachal</t>
  </si>
  <si>
    <t>M.P.</t>
  </si>
  <si>
    <t>Orissa</t>
  </si>
  <si>
    <t>Tamilnadu</t>
  </si>
  <si>
    <t>U.P.</t>
  </si>
  <si>
    <t>Uttaranchal</t>
  </si>
  <si>
    <t>W.B.</t>
  </si>
  <si>
    <t>NCT of Delhi</t>
  </si>
  <si>
    <t>Jammu and Kashmir</t>
  </si>
  <si>
    <t>J &amp; K</t>
  </si>
  <si>
    <t>Ladakh</t>
  </si>
  <si>
    <t>Andaman and Nicobar Islands</t>
  </si>
  <si>
    <t>A &amp; N Islands</t>
  </si>
  <si>
    <t>Dadra &amp; Nagar Haveli</t>
  </si>
  <si>
    <t>Dadra and Nagar Haveli</t>
  </si>
  <si>
    <t>D&amp;N Haveli</t>
  </si>
  <si>
    <t>Daman &amp; Diu</t>
  </si>
  <si>
    <t>Daman and Diu</t>
  </si>
  <si>
    <t>Lakshadweep</t>
  </si>
  <si>
    <t>Pondicherry</t>
  </si>
  <si>
    <t>State</t>
  </si>
  <si>
    <t>State_Population</t>
  </si>
  <si>
    <t>Average_growth</t>
  </si>
  <si>
    <t>Total_Dengue_Cases 2019 to 2024</t>
  </si>
  <si>
    <t>Total_Dengue_Death_2019 to 2024</t>
  </si>
  <si>
    <t>A&amp; N Island</t>
  </si>
  <si>
    <t>Puduchery</t>
  </si>
  <si>
    <t>Uttrakhand</t>
  </si>
  <si>
    <t>West Bengal*</t>
  </si>
  <si>
    <t>Hospitals</t>
  </si>
  <si>
    <t>Beds</t>
  </si>
  <si>
    <t>A&amp; N Islands</t>
  </si>
  <si>
    <t>Doctors_Senctioned</t>
  </si>
  <si>
    <t>Docotrs_in_Position</t>
  </si>
  <si>
    <t>Population</t>
  </si>
  <si>
    <t>Hospitals_Count</t>
  </si>
  <si>
    <t>Hospitals_Beds_Count</t>
  </si>
  <si>
    <t>Dengue_Cases_2019_to_2024</t>
  </si>
  <si>
    <t>Dengue_Deaths_2019 to 2024</t>
  </si>
  <si>
    <t>Projected_Population</t>
  </si>
  <si>
    <t>Beds_per_1000</t>
  </si>
  <si>
    <t>Doctors_per_1000</t>
  </si>
  <si>
    <t>Population_per_hospital</t>
  </si>
  <si>
    <t>Doctor Shortage %</t>
  </si>
  <si>
    <t>Doctors per 1000</t>
  </si>
  <si>
    <t>Sum of Beds_per_1000</t>
  </si>
  <si>
    <t>Average of Beds_per_1000</t>
  </si>
  <si>
    <t>Dengue_Case_Rate</t>
  </si>
  <si>
    <t>Dengue_death_rate</t>
  </si>
  <si>
    <t>Sum of Doctors_per_1000</t>
  </si>
  <si>
    <t>Sum of Doctor Shortage %</t>
  </si>
  <si>
    <t>Sum of Dengue_Case_Rate</t>
  </si>
  <si>
    <t>Average of Doctors_per_1000</t>
  </si>
  <si>
    <t>Average of Population_per_hospital</t>
  </si>
  <si>
    <t>Average of Doctor Shortage %</t>
  </si>
  <si>
    <t>Beds Per 1000</t>
  </si>
  <si>
    <t>Doctors Shortage</t>
  </si>
  <si>
    <t>KPI CARDS</t>
  </si>
  <si>
    <t>Row Labels</t>
  </si>
  <si>
    <t>Grand Total</t>
  </si>
  <si>
    <t>Sum of Hospitals_Count</t>
  </si>
  <si>
    <t>Sum of Hospitals_Beds_Count</t>
  </si>
  <si>
    <t>Sum of Dengue_Cases_2019_to_2024</t>
  </si>
  <si>
    <t>HealthCare Infrastucture Selected State</t>
  </si>
  <si>
    <t>Sum of Docotrs_in_Position</t>
  </si>
  <si>
    <t>Sum of Dengue_Deaths_2019 to 2024</t>
  </si>
  <si>
    <t>Sum of Projected_Population</t>
  </si>
  <si>
    <t>Sum of Doctors_Senctioned</t>
  </si>
  <si>
    <t xml:space="preserve">Actual Working Doctors </t>
  </si>
  <si>
    <t>Dengue Case rate</t>
  </si>
  <si>
    <t>Heatmap table:   State | Beds/1000 | Doctors/1000 | Dengue Rate</t>
  </si>
  <si>
    <t>Beds_Per_1000</t>
  </si>
  <si>
    <t>Total Dengue Cases</t>
  </si>
  <si>
    <t>Average Population per Hospital</t>
  </si>
  <si>
    <t>Total Deaths due to Dengue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</si>
</sst>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K"/>
    <numFmt numFmtId="165" formatCode="0,\K"/>
    <numFmt numFmtId="166" formatCode="0.0000"/>
  </numFmts>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
      <sz val="12"/>
      <color theme="1"/>
      <name val="Aptos Narrow"/>
      <family val="2"/>
      <scheme val="minor"/>
    </font>
    <font>
      <sz val="10"/>
      <color theme="1"/>
      <name val="Aptos SemiBold"/>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7" tint="0.79998168889431442"/>
        <bgColor indexed="64"/>
      </patternFill>
    </fill>
  </fills>
  <borders count="3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style="thick">
        <color indexed="64"/>
      </top>
      <bottom/>
      <diagonal/>
    </border>
    <border>
      <left/>
      <right/>
      <top/>
      <bottom style="thick">
        <color indexed="64"/>
      </bottom>
      <diagonal/>
    </border>
    <border>
      <left/>
      <right/>
      <top style="thick">
        <color indexed="64"/>
      </top>
      <bottom/>
      <diagonal/>
    </border>
    <border>
      <left/>
      <right style="thick">
        <color indexed="64"/>
      </right>
      <top/>
      <bottom/>
      <diagonal/>
    </border>
    <border>
      <left style="thin">
        <color indexed="64"/>
      </left>
      <right/>
      <top/>
      <bottom style="thick">
        <color indexed="64"/>
      </bottom>
      <diagonal/>
    </border>
    <border>
      <left/>
      <right style="thick">
        <color indexed="64"/>
      </right>
      <top/>
      <bottom style="thick">
        <color indexed="64"/>
      </bottom>
      <diagonal/>
    </border>
    <border>
      <left style="thick">
        <color indexed="64"/>
      </left>
      <right style="thick">
        <color indexed="64"/>
      </right>
      <top style="thick">
        <color indexed="64"/>
      </top>
      <bottom style="thick">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5">
    <xf numFmtId="0" fontId="0" fillId="0" borderId="0" xfId="0"/>
    <xf numFmtId="0" fontId="0" fillId="0" borderId="0" xfId="0" applyAlignment="1">
      <alignment wrapText="1"/>
    </xf>
    <xf numFmtId="10" fontId="0" fillId="0" borderId="0" xfId="0" applyNumberFormat="1"/>
    <xf numFmtId="0" fontId="0" fillId="0" borderId="0" xfId="0" applyAlignment="1">
      <alignment horizontal="center" vertical="center"/>
    </xf>
    <xf numFmtId="10" fontId="0" fillId="0" borderId="0" xfId="0" applyNumberFormat="1" applyAlignment="1">
      <alignment horizontal="center" vertical="center"/>
    </xf>
    <xf numFmtId="0" fontId="0" fillId="0" borderId="0" xfId="0" applyAlignment="1">
      <alignment horizontal="center" vertical="center" wrapText="1"/>
    </xf>
    <xf numFmtId="10" fontId="0" fillId="0" borderId="0" xfId="0" applyNumberFormat="1" applyAlignment="1">
      <alignment horizontal="center" vertical="center" wrapText="1"/>
    </xf>
    <xf numFmtId="2" fontId="0" fillId="0" borderId="0" xfId="0" applyNumberFormat="1" applyAlignment="1">
      <alignment horizontal="center" vertical="center" wrapText="1"/>
    </xf>
    <xf numFmtId="2" fontId="0" fillId="0" borderId="0" xfId="0" applyNumberFormat="1" applyAlignment="1">
      <alignment horizontal="center" vertical="center"/>
    </xf>
    <xf numFmtId="2" fontId="0" fillId="0" borderId="0" xfId="0" applyNumberFormat="1"/>
    <xf numFmtId="1" fontId="0" fillId="0" borderId="0" xfId="0" applyNumberFormat="1" applyAlignment="1">
      <alignment horizontal="center" vertical="center" wrapText="1"/>
    </xf>
    <xf numFmtId="1" fontId="0" fillId="0" borderId="0" xfId="0" applyNumberFormat="1" applyAlignment="1">
      <alignment horizontal="center" vertical="center"/>
    </xf>
    <xf numFmtId="1" fontId="0" fillId="0" borderId="0" xfId="0" applyNumberFormat="1"/>
    <xf numFmtId="0" fontId="0" fillId="0" borderId="11" xfId="0" applyBorder="1"/>
    <xf numFmtId="0" fontId="0" fillId="0" borderId="12"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0" xfId="0" pivotButton="1"/>
    <xf numFmtId="0" fontId="0" fillId="0" borderId="0" xfId="0" applyAlignment="1">
      <alignment horizontal="left"/>
    </xf>
    <xf numFmtId="0" fontId="0" fillId="33" borderId="0" xfId="0" applyFill="1"/>
    <xf numFmtId="0" fontId="0" fillId="0" borderId="21" xfId="0" applyBorder="1"/>
    <xf numFmtId="0" fontId="0" fillId="0" borderId="22" xfId="0" applyBorder="1"/>
    <xf numFmtId="0" fontId="0" fillId="0" borderId="23" xfId="0" applyBorder="1"/>
    <xf numFmtId="0" fontId="0" fillId="0" borderId="24" xfId="0" applyBorder="1"/>
    <xf numFmtId="0" fontId="0" fillId="0" borderId="25" xfId="0" applyBorder="1"/>
    <xf numFmtId="0" fontId="0" fillId="0" borderId="26" xfId="0" applyBorder="1"/>
    <xf numFmtId="0" fontId="0" fillId="0" borderId="27" xfId="0" applyBorder="1"/>
    <xf numFmtId="0" fontId="0" fillId="0" borderId="28" xfId="0" applyBorder="1"/>
    <xf numFmtId="0" fontId="0" fillId="0" borderId="30" xfId="0" applyBorder="1"/>
    <xf numFmtId="0" fontId="0" fillId="0" borderId="29" xfId="0" applyBorder="1"/>
    <xf numFmtId="0" fontId="0" fillId="0" borderId="31" xfId="0" applyBorder="1"/>
    <xf numFmtId="0" fontId="0" fillId="0" borderId="32" xfId="0" applyBorder="1"/>
    <xf numFmtId="0" fontId="0" fillId="0" borderId="33" xfId="0" applyBorder="1"/>
    <xf numFmtId="2" fontId="0" fillId="0" borderId="25" xfId="0" applyNumberFormat="1" applyBorder="1"/>
    <xf numFmtId="10" fontId="19" fillId="0" borderId="0" xfId="0" applyNumberFormat="1" applyFont="1" applyAlignment="1">
      <alignment horizontal="center" vertical="center"/>
    </xf>
    <xf numFmtId="10" fontId="19" fillId="0" borderId="25" xfId="0" applyNumberFormat="1" applyFont="1" applyBorder="1" applyAlignment="1">
      <alignment horizontal="center" vertical="center"/>
    </xf>
    <xf numFmtId="10" fontId="19" fillId="0" borderId="27" xfId="0" applyNumberFormat="1" applyFont="1" applyBorder="1" applyAlignment="1">
      <alignment horizontal="center" vertical="center"/>
    </xf>
    <xf numFmtId="10" fontId="19" fillId="0" borderId="28" xfId="0" applyNumberFormat="1" applyFont="1" applyBorder="1" applyAlignment="1">
      <alignment horizontal="center" vertical="center"/>
    </xf>
    <xf numFmtId="0" fontId="0" fillId="0" borderId="10" xfId="0" applyBorder="1"/>
    <xf numFmtId="164" fontId="0" fillId="0" borderId="0" xfId="0" applyNumberFormat="1"/>
    <xf numFmtId="165" fontId="0" fillId="0" borderId="0" xfId="0" applyNumberFormat="1"/>
    <xf numFmtId="1" fontId="0" fillId="0" borderId="17" xfId="0" applyNumberFormat="1" applyBorder="1"/>
    <xf numFmtId="0" fontId="19" fillId="34" borderId="24" xfId="0" applyFont="1" applyFill="1" applyBorder="1" applyAlignment="1">
      <alignment horizontal="center" vertical="center"/>
    </xf>
    <xf numFmtId="0" fontId="19" fillId="34" borderId="26" xfId="0" applyFont="1" applyFill="1" applyBorder="1" applyAlignment="1">
      <alignment horizontal="center" vertical="center"/>
    </xf>
    <xf numFmtId="0" fontId="20" fillId="34" borderId="20" xfId="0" applyFont="1" applyFill="1" applyBorder="1" applyAlignment="1">
      <alignment horizontal="center"/>
    </xf>
    <xf numFmtId="166" fontId="0" fillId="0" borderId="12" xfId="0" applyNumberFormat="1" applyBorder="1"/>
    <xf numFmtId="166" fontId="0" fillId="0" borderId="0" xfId="0" applyNumberFormat="1"/>
    <xf numFmtId="0" fontId="0" fillId="33" borderId="12" xfId="0" applyFill="1" applyBorder="1" applyAlignment="1">
      <alignment horizontal="center"/>
    </xf>
    <xf numFmtId="0" fontId="0" fillId="33" borderId="0" xfId="0" applyFill="1" applyAlignment="1">
      <alignment horizontal="center"/>
    </xf>
    <xf numFmtId="0" fontId="0" fillId="33" borderId="13" xfId="0" applyFill="1" applyBorder="1" applyAlignment="1">
      <alignment horizontal="center"/>
    </xf>
    <xf numFmtId="0" fontId="16"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4" formatCode="0.00%"/>
    </dxf>
    <dxf>
      <numFmt numFmtId="14" formatCode="0.00%"/>
    </dxf>
    <dxf>
      <numFmt numFmtId="14" formatCode="0.00%"/>
    </dxf>
    <dxf>
      <numFmt numFmtId="14" formatCode="0.00%"/>
    </dxf>
    <dxf>
      <numFmt numFmtId="0" formatCode="General"/>
    </dxf>
    <dxf>
      <numFmt numFmtId="0" formatCode="General"/>
    </dxf>
    <dxf>
      <numFmt numFmtId="0" formatCode="General"/>
    </dxf>
    <dxf>
      <numFmt numFmtId="14" formatCode="0.00%"/>
    </dxf>
    <dxf>
      <numFmt numFmtId="14" formatCode="0.00%"/>
    </dxf>
    <dxf>
      <numFmt numFmtId="14" formatCode="0.00%"/>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2" formatCode="0.00"/>
      <alignment horizontal="center" vertical="center" textRotation="0" wrapText="0" indent="0" justifyLastLine="0" shrinkToFit="0" readingOrder="0"/>
    </dxf>
    <dxf>
      <numFmt numFmtId="14" formatCode="0.00%"/>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numFmt numFmtId="14" formatCode="0.00%"/>
      <alignment horizontal="center" vertical="center" textRotation="0" wrapText="0" indent="0" justifyLastLine="0" shrinkToFit="0" readingOrder="0"/>
    </dxf>
    <dxf>
      <numFmt numFmtId="14" formatCode="0.00%"/>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font>
        <b/>
        <i val="0"/>
        <strike val="0"/>
        <sz val="18"/>
        <color theme="0"/>
        <name val="Aptos SemiBold"/>
        <family val="2"/>
        <scheme val="none"/>
      </font>
      <border diagonalUp="0" diagonalDown="0">
        <left/>
        <right/>
        <top/>
        <bottom/>
        <vertical/>
        <horizontal/>
      </border>
    </dxf>
    <dxf>
      <font>
        <b/>
        <i val="0"/>
        <strike val="0"/>
        <u val="none"/>
        <sz val="12"/>
        <color theme="0"/>
        <name val="Aptos SemiBold"/>
        <family val="2"/>
        <scheme val="none"/>
      </font>
      <fill>
        <patternFill>
          <bgColor rgb="FF206EA8"/>
        </patternFill>
      </fill>
      <border diagonalUp="0" diagonalDown="0">
        <left/>
        <right/>
        <top/>
        <bottom/>
        <vertical/>
        <horizontal/>
      </border>
    </dxf>
  </dxfs>
  <tableStyles count="1" defaultTableStyle="TableStyleMedium2" defaultPivotStyle="PivotStyleLight16">
    <tableStyle name="Dashboard_Slicer" pivot="0" table="0" count="4" xr9:uid="{DF85CA1E-E845-438F-8512-BAFFF9CC5A5E}">
      <tableStyleElement type="wholeTable" dxfId="49"/>
      <tableStyleElement type="headerRow" dxfId="48"/>
    </tableStyle>
  </tableStyles>
  <colors>
    <mruColors>
      <color rgb="FFD0F9FC"/>
      <color rgb="FF4B92D9"/>
      <color rgb="FF003399"/>
      <color rgb="FF206EA8"/>
      <color rgb="FF256BB1"/>
      <color rgb="FF2B7BCB"/>
      <color rgb="FF2275B4"/>
      <color rgb="FF22609E"/>
      <color rgb="FF1A4978"/>
      <color rgb="FF0033CC"/>
    </mruColors>
  </colors>
  <extLst>
    <ext xmlns:x14="http://schemas.microsoft.com/office/spreadsheetml/2009/9/main" uri="{46F421CA-312F-682f-3DD2-61675219B42D}">
      <x14:dxfs count="2">
        <dxf>
          <font>
            <b/>
            <i val="0"/>
            <strike val="0"/>
            <sz val="16"/>
            <name val="Aptos SemiBold"/>
            <family val="2"/>
            <scheme val="none"/>
          </font>
          <fill>
            <patternFill patternType="solid">
              <fgColor auto="1"/>
              <bgColor theme="4" tint="0.39994506668294322"/>
            </patternFill>
          </fill>
          <border diagonalUp="0" diagonalDown="0">
            <left/>
            <right/>
            <top/>
            <bottom/>
            <vertical/>
            <horizontal/>
          </border>
        </dxf>
        <dxf>
          <font>
            <b/>
            <i val="0"/>
            <strike val="0"/>
            <u val="none"/>
            <sz val="14"/>
            <color theme="0"/>
            <name val="Aptos SemiBold"/>
            <family val="2"/>
            <scheme val="none"/>
          </font>
          <fill>
            <patternFill>
              <bgColor rgb="FF00B0F0"/>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Dashboard_Slicer">
          <x14:slicerStyleElements>
            <x14:slicerStyleElement type="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[India_healthcare_Capacity_Dashboard.xlsx]Analysis!PivotTable9</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Analysis!$D$17</c:f>
              <c:strCache>
                <c:ptCount val="1"/>
                <c:pt idx="0">
                  <c:v>Sum of Projected_Population</c:v>
                </c:pt>
              </c:strCache>
            </c:strRef>
          </c:tx>
          <c:spPr>
            <a:solidFill>
              <a:schemeClr val="accent1"/>
            </a:solidFill>
            <a:ln>
              <a:noFill/>
            </a:ln>
            <a:effectLst/>
          </c:spPr>
          <c:invertIfNegative val="0"/>
          <c:cat>
            <c:strRef>
              <c:f>Analysis!$C$18:$C$23</c:f>
              <c:strCache>
                <c:ptCount val="5"/>
                <c:pt idx="0">
                  <c:v>Karnataka</c:v>
                </c:pt>
                <c:pt idx="1">
                  <c:v>Kerala</c:v>
                </c:pt>
                <c:pt idx="2">
                  <c:v>Tamil Nadu</c:v>
                </c:pt>
                <c:pt idx="3">
                  <c:v>Uttar Pradesh</c:v>
                </c:pt>
                <c:pt idx="4">
                  <c:v>Uttarakhand</c:v>
                </c:pt>
              </c:strCache>
            </c:strRef>
          </c:cat>
          <c:val>
            <c:numRef>
              <c:f>Analysis!$D$18:$D$23</c:f>
              <c:numCache>
                <c:formatCode>General</c:formatCode>
                <c:ptCount val="5"/>
                <c:pt idx="0">
                  <c:v>62114490.648214288</c:v>
                </c:pt>
                <c:pt idx="1">
                  <c:v>31784668.85653846</c:v>
                </c:pt>
                <c:pt idx="2">
                  <c:v>79621666.650580645</c:v>
                </c:pt>
                <c:pt idx="3">
                  <c:v>232978236.18652174</c:v>
                </c:pt>
                <c:pt idx="4">
                  <c:v>11403328.974615386</c:v>
                </c:pt>
              </c:numCache>
            </c:numRef>
          </c:val>
          <c:extLst>
            <c:ext xmlns:c16="http://schemas.microsoft.com/office/drawing/2014/chart" uri="{C3380CC4-5D6E-409C-BE32-E72D297353CC}">
              <c16:uniqueId val="{00000000-D116-40FB-B415-47AEFB23B491}"/>
            </c:ext>
          </c:extLst>
        </c:ser>
        <c:ser>
          <c:idx val="1"/>
          <c:order val="1"/>
          <c:tx>
            <c:strRef>
              <c:f>Analysis!$E$17</c:f>
              <c:strCache>
                <c:ptCount val="1"/>
                <c:pt idx="0">
                  <c:v>Sum of Hospitals_Count</c:v>
                </c:pt>
              </c:strCache>
            </c:strRef>
          </c:tx>
          <c:spPr>
            <a:solidFill>
              <a:schemeClr val="accent2"/>
            </a:solidFill>
            <a:ln>
              <a:noFill/>
            </a:ln>
            <a:effectLst/>
          </c:spPr>
          <c:invertIfNegative val="0"/>
          <c:cat>
            <c:strRef>
              <c:f>Analysis!$C$18:$C$23</c:f>
              <c:strCache>
                <c:ptCount val="5"/>
                <c:pt idx="0">
                  <c:v>Karnataka</c:v>
                </c:pt>
                <c:pt idx="1">
                  <c:v>Kerala</c:v>
                </c:pt>
                <c:pt idx="2">
                  <c:v>Tamil Nadu</c:v>
                </c:pt>
                <c:pt idx="3">
                  <c:v>Uttar Pradesh</c:v>
                </c:pt>
                <c:pt idx="4">
                  <c:v>Uttarakhand</c:v>
                </c:pt>
              </c:strCache>
            </c:strRef>
          </c:cat>
          <c:val>
            <c:numRef>
              <c:f>Analysis!$E$18:$E$23</c:f>
              <c:numCache>
                <c:formatCode>General</c:formatCode>
                <c:ptCount val="5"/>
                <c:pt idx="0">
                  <c:v>213</c:v>
                </c:pt>
                <c:pt idx="1">
                  <c:v>162</c:v>
                </c:pt>
                <c:pt idx="2">
                  <c:v>293</c:v>
                </c:pt>
                <c:pt idx="3">
                  <c:v>2316</c:v>
                </c:pt>
                <c:pt idx="4">
                  <c:v>405</c:v>
                </c:pt>
              </c:numCache>
            </c:numRef>
          </c:val>
          <c:extLst>
            <c:ext xmlns:c16="http://schemas.microsoft.com/office/drawing/2014/chart" uri="{C3380CC4-5D6E-409C-BE32-E72D297353CC}">
              <c16:uniqueId val="{00000004-D116-40FB-B415-47AEFB23B491}"/>
            </c:ext>
          </c:extLst>
        </c:ser>
        <c:ser>
          <c:idx val="2"/>
          <c:order val="2"/>
          <c:tx>
            <c:strRef>
              <c:f>Analysis!$F$17</c:f>
              <c:strCache>
                <c:ptCount val="1"/>
                <c:pt idx="0">
                  <c:v>Sum of Hospitals_Beds_Count</c:v>
                </c:pt>
              </c:strCache>
            </c:strRef>
          </c:tx>
          <c:spPr>
            <a:solidFill>
              <a:schemeClr val="accent3"/>
            </a:solidFill>
            <a:ln>
              <a:noFill/>
            </a:ln>
            <a:effectLst/>
          </c:spPr>
          <c:invertIfNegative val="0"/>
          <c:cat>
            <c:strRef>
              <c:f>Analysis!$C$18:$C$23</c:f>
              <c:strCache>
                <c:ptCount val="5"/>
                <c:pt idx="0">
                  <c:v>Karnataka</c:v>
                </c:pt>
                <c:pt idx="1">
                  <c:v>Kerala</c:v>
                </c:pt>
                <c:pt idx="2">
                  <c:v>Tamil Nadu</c:v>
                </c:pt>
                <c:pt idx="3">
                  <c:v>Uttar Pradesh</c:v>
                </c:pt>
                <c:pt idx="4">
                  <c:v>Uttarakhand</c:v>
                </c:pt>
              </c:strCache>
            </c:strRef>
          </c:cat>
          <c:val>
            <c:numRef>
              <c:f>Analysis!$F$18:$F$23</c:f>
              <c:numCache>
                <c:formatCode>General</c:formatCode>
                <c:ptCount val="5"/>
                <c:pt idx="0">
                  <c:v>10195</c:v>
                </c:pt>
                <c:pt idx="1">
                  <c:v>4054</c:v>
                </c:pt>
                <c:pt idx="2">
                  <c:v>2381</c:v>
                </c:pt>
                <c:pt idx="3">
                  <c:v>11461</c:v>
                </c:pt>
                <c:pt idx="4">
                  <c:v>2073</c:v>
                </c:pt>
              </c:numCache>
            </c:numRef>
          </c:val>
          <c:extLst>
            <c:ext xmlns:c16="http://schemas.microsoft.com/office/drawing/2014/chart" uri="{C3380CC4-5D6E-409C-BE32-E72D297353CC}">
              <c16:uniqueId val="{00000005-D116-40FB-B415-47AEFB23B491}"/>
            </c:ext>
          </c:extLst>
        </c:ser>
        <c:dLbls>
          <c:showLegendKey val="0"/>
          <c:showVal val="0"/>
          <c:showCatName val="0"/>
          <c:showSerName val="0"/>
          <c:showPercent val="0"/>
          <c:showBubbleSize val="0"/>
        </c:dLbls>
        <c:gapWidth val="219"/>
        <c:overlap val="-27"/>
        <c:axId val="205092415"/>
        <c:axId val="348955391"/>
      </c:barChart>
      <c:catAx>
        <c:axId val="205092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8955391"/>
        <c:crosses val="autoZero"/>
        <c:auto val="1"/>
        <c:lblAlgn val="ctr"/>
        <c:lblOffset val="100"/>
        <c:noMultiLvlLbl val="0"/>
      </c:catAx>
      <c:valAx>
        <c:axId val="3489553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092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[India_healthcare_Capacity_Dashboard.xlsx]Analysis!PivotTable10</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Analysis!$B$85</c:f>
              <c:strCache>
                <c:ptCount val="1"/>
                <c:pt idx="0">
                  <c:v>Sum of Docotrs_in_Position</c:v>
                </c:pt>
              </c:strCache>
            </c:strRef>
          </c:tx>
          <c:spPr>
            <a:solidFill>
              <a:schemeClr val="accent1"/>
            </a:solidFill>
            <a:ln>
              <a:noFill/>
            </a:ln>
            <a:effectLst/>
          </c:spPr>
          <c:invertIfNegative val="0"/>
          <c:cat>
            <c:strRef>
              <c:f>Analysis!$B$86</c:f>
              <c:strCache>
                <c:ptCount val="1"/>
                <c:pt idx="0">
                  <c:v>Total</c:v>
                </c:pt>
              </c:strCache>
            </c:strRef>
          </c:cat>
          <c:val>
            <c:numRef>
              <c:f>Analysis!$B$86</c:f>
              <c:numCache>
                <c:formatCode>General</c:formatCode>
                <c:ptCount val="1"/>
                <c:pt idx="0">
                  <c:v>1786</c:v>
                </c:pt>
              </c:numCache>
            </c:numRef>
          </c:val>
          <c:extLst>
            <c:ext xmlns:c16="http://schemas.microsoft.com/office/drawing/2014/chart" uri="{C3380CC4-5D6E-409C-BE32-E72D297353CC}">
              <c16:uniqueId val="{00000000-62AF-463F-9D87-12208C20EB05}"/>
            </c:ext>
          </c:extLst>
        </c:ser>
        <c:ser>
          <c:idx val="1"/>
          <c:order val="1"/>
          <c:tx>
            <c:strRef>
              <c:f>Analysis!$C$85</c:f>
              <c:strCache>
                <c:ptCount val="1"/>
                <c:pt idx="0">
                  <c:v>Sum of Doctors_Senctioned</c:v>
                </c:pt>
              </c:strCache>
            </c:strRef>
          </c:tx>
          <c:spPr>
            <a:solidFill>
              <a:schemeClr val="accent2"/>
            </a:solidFill>
            <a:ln>
              <a:noFill/>
            </a:ln>
            <a:effectLst/>
          </c:spPr>
          <c:invertIfNegative val="0"/>
          <c:cat>
            <c:strRef>
              <c:f>Analysis!$B$86</c:f>
              <c:strCache>
                <c:ptCount val="1"/>
                <c:pt idx="0">
                  <c:v>Total</c:v>
                </c:pt>
              </c:strCache>
            </c:strRef>
          </c:cat>
          <c:val>
            <c:numRef>
              <c:f>Analysis!$C$86</c:f>
              <c:numCache>
                <c:formatCode>General</c:formatCode>
                <c:ptCount val="1"/>
                <c:pt idx="0">
                  <c:v>2078</c:v>
                </c:pt>
              </c:numCache>
            </c:numRef>
          </c:val>
          <c:extLst>
            <c:ext xmlns:c16="http://schemas.microsoft.com/office/drawing/2014/chart" uri="{C3380CC4-5D6E-409C-BE32-E72D297353CC}">
              <c16:uniqueId val="{00000001-62AF-463F-9D87-12208C20EB05}"/>
            </c:ext>
          </c:extLst>
        </c:ser>
        <c:dLbls>
          <c:showLegendKey val="0"/>
          <c:showVal val="0"/>
          <c:showCatName val="0"/>
          <c:showSerName val="0"/>
          <c:showPercent val="0"/>
          <c:showBubbleSize val="0"/>
        </c:dLbls>
        <c:gapWidth val="219"/>
        <c:overlap val="-27"/>
        <c:axId val="1190445583"/>
        <c:axId val="1190535871"/>
      </c:barChart>
      <c:catAx>
        <c:axId val="1190445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0535871"/>
        <c:crosses val="autoZero"/>
        <c:auto val="1"/>
        <c:lblAlgn val="ctr"/>
        <c:lblOffset val="100"/>
        <c:noMultiLvlLbl val="0"/>
      </c:catAx>
      <c:valAx>
        <c:axId val="11905358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0445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[India_healthcare_Capacity_Dashboard.xlsx]Analysis!PivotTable13</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Analysis!$C$60</c:f>
              <c:strCache>
                <c:ptCount val="1"/>
                <c:pt idx="0">
                  <c:v>Sum of Dengue_Cases_2019_to_2024</c:v>
                </c:pt>
              </c:strCache>
            </c:strRef>
          </c:tx>
          <c:spPr>
            <a:solidFill>
              <a:schemeClr val="accent1"/>
            </a:solidFill>
            <a:ln>
              <a:noFill/>
            </a:ln>
            <a:effectLst/>
          </c:spPr>
          <c:invertIfNegative val="0"/>
          <c:cat>
            <c:strRef>
              <c:f>Analysis!$C$61</c:f>
              <c:strCache>
                <c:ptCount val="1"/>
                <c:pt idx="0">
                  <c:v>Total</c:v>
                </c:pt>
              </c:strCache>
            </c:strRef>
          </c:cat>
          <c:val>
            <c:numRef>
              <c:f>Analysis!$C$61</c:f>
              <c:numCache>
                <c:formatCode>General</c:formatCode>
                <c:ptCount val="1"/>
                <c:pt idx="0">
                  <c:v>42041</c:v>
                </c:pt>
              </c:numCache>
            </c:numRef>
          </c:val>
          <c:extLst>
            <c:ext xmlns:c16="http://schemas.microsoft.com/office/drawing/2014/chart" uri="{C3380CC4-5D6E-409C-BE32-E72D297353CC}">
              <c16:uniqueId val="{00000000-384B-4312-93E2-6EDEBE0506FA}"/>
            </c:ext>
          </c:extLst>
        </c:ser>
        <c:dLbls>
          <c:showLegendKey val="0"/>
          <c:showVal val="0"/>
          <c:showCatName val="0"/>
          <c:showSerName val="0"/>
          <c:showPercent val="0"/>
          <c:showBubbleSize val="0"/>
        </c:dLbls>
        <c:gapWidth val="219"/>
        <c:overlap val="-27"/>
        <c:axId val="737247871"/>
        <c:axId val="565626095"/>
      </c:barChart>
      <c:lineChart>
        <c:grouping val="stacked"/>
        <c:varyColors val="0"/>
        <c:ser>
          <c:idx val="1"/>
          <c:order val="1"/>
          <c:tx>
            <c:strRef>
              <c:f>Analysis!$D$60</c:f>
              <c:strCache>
                <c:ptCount val="1"/>
                <c:pt idx="0">
                  <c:v>Sum of Dengue_Deaths_2019 to 2024</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Analysis!$C$61</c:f>
              <c:strCache>
                <c:ptCount val="1"/>
                <c:pt idx="0">
                  <c:v>Total</c:v>
                </c:pt>
              </c:strCache>
            </c:strRef>
          </c:cat>
          <c:val>
            <c:numRef>
              <c:f>Analysis!$D$61</c:f>
              <c:numCache>
                <c:formatCode>General</c:formatCode>
                <c:ptCount val="1"/>
                <c:pt idx="0">
                  <c:v>110</c:v>
                </c:pt>
              </c:numCache>
            </c:numRef>
          </c:val>
          <c:smooth val="0"/>
          <c:extLst>
            <c:ext xmlns:c16="http://schemas.microsoft.com/office/drawing/2014/chart" uri="{C3380CC4-5D6E-409C-BE32-E72D297353CC}">
              <c16:uniqueId val="{00000001-384B-4312-93E2-6EDEBE0506FA}"/>
            </c:ext>
          </c:extLst>
        </c:ser>
        <c:dLbls>
          <c:showLegendKey val="0"/>
          <c:showVal val="0"/>
          <c:showCatName val="0"/>
          <c:showSerName val="0"/>
          <c:showPercent val="0"/>
          <c:showBubbleSize val="0"/>
        </c:dLbls>
        <c:marker val="1"/>
        <c:smooth val="0"/>
        <c:axId val="1368474191"/>
        <c:axId val="565627583"/>
      </c:lineChart>
      <c:catAx>
        <c:axId val="737247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5626095"/>
        <c:crosses val="autoZero"/>
        <c:auto val="1"/>
        <c:lblAlgn val="ctr"/>
        <c:lblOffset val="100"/>
        <c:noMultiLvlLbl val="0"/>
      </c:catAx>
      <c:valAx>
        <c:axId val="5656260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7247871"/>
        <c:crosses val="autoZero"/>
        <c:crossBetween val="between"/>
      </c:valAx>
      <c:valAx>
        <c:axId val="565627583"/>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8474191"/>
        <c:crosses val="max"/>
        <c:crossBetween val="between"/>
      </c:valAx>
      <c:catAx>
        <c:axId val="1368474191"/>
        <c:scaling>
          <c:orientation val="minMax"/>
        </c:scaling>
        <c:delete val="1"/>
        <c:axPos val="b"/>
        <c:numFmt formatCode="General" sourceLinked="1"/>
        <c:majorTickMark val="out"/>
        <c:minorTickMark val="none"/>
        <c:tickLblPos val="nextTo"/>
        <c:crossAx val="565627583"/>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beds Vs Dengue </c:v>
          </c:tx>
          <c:spPr>
            <a:ln w="25400" cap="rnd">
              <a:noFill/>
              <a:round/>
            </a:ln>
            <a:effectLst/>
          </c:spPr>
          <c:marker>
            <c:symbol val="circle"/>
            <c:size val="5"/>
            <c:spPr>
              <a:solidFill>
                <a:schemeClr val="accent1"/>
              </a:solidFill>
              <a:ln w="9525">
                <a:solidFill>
                  <a:schemeClr val="accent1"/>
                </a:solidFill>
              </a:ln>
              <a:effectLst/>
            </c:spPr>
          </c:marker>
          <c:xVal>
            <c:numRef>
              <c:f>'All Cleaned Data'!$K$2:$K$36</c:f>
              <c:numCache>
                <c:formatCode>0.00%</c:formatCode>
                <c:ptCount val="35"/>
                <c:pt idx="0">
                  <c:v>0.23507790745096649</c:v>
                </c:pt>
                <c:pt idx="1">
                  <c:v>4.8650608976610974E-3</c:v>
                </c:pt>
                <c:pt idx="2">
                  <c:v>7.0682130141871011E-2</c:v>
                </c:pt>
                <c:pt idx="3">
                  <c:v>6.209909323111505E-3</c:v>
                </c:pt>
                <c:pt idx="4">
                  <c:v>8.4405824734178451E-3</c:v>
                </c:pt>
                <c:pt idx="5">
                  <c:v>6.4678772411937438E-2</c:v>
                </c:pt>
                <c:pt idx="6">
                  <c:v>2.7394420386351325E-2</c:v>
                </c:pt>
                <c:pt idx="7">
                  <c:v>0</c:v>
                </c:pt>
                <c:pt idx="8">
                  <c:v>5.7601900213879259E-2</c:v>
                </c:pt>
                <c:pt idx="9">
                  <c:v>3.7755493388936363E-2</c:v>
                </c:pt>
                <c:pt idx="10">
                  <c:v>9.4973649207250613E-2</c:v>
                </c:pt>
                <c:pt idx="11">
                  <c:v>5.0664490284409815E-2</c:v>
                </c:pt>
                <c:pt idx="12">
                  <c:v>2.4388982198758218E-2</c:v>
                </c:pt>
                <c:pt idx="13">
                  <c:v>9.2892792322136528E-2</c:v>
                </c:pt>
                <c:pt idx="14">
                  <c:v>4.8122784703638101E-3</c:v>
                </c:pt>
                <c:pt idx="15">
                  <c:v>1.0279791792810893E-2</c:v>
                </c:pt>
                <c:pt idx="16">
                  <c:v>0.1641323931599058</c:v>
                </c:pt>
                <c:pt idx="17">
                  <c:v>0.1275457680021117</c:v>
                </c:pt>
                <c:pt idx="18">
                  <c:v>0</c:v>
                </c:pt>
                <c:pt idx="19">
                  <c:v>7.9012392789434491E-3</c:v>
                </c:pt>
                <c:pt idx="20">
                  <c:v>7.6516116236113638E-2</c:v>
                </c:pt>
                <c:pt idx="21">
                  <c:v>0</c:v>
                </c:pt>
                <c:pt idx="22">
                  <c:v>2.584878545637671E-2</c:v>
                </c:pt>
                <c:pt idx="23">
                  <c:v>7.3295807475189281E-2</c:v>
                </c:pt>
                <c:pt idx="24">
                  <c:v>2.7728241028846536E-3</c:v>
                </c:pt>
                <c:pt idx="25">
                  <c:v>1.8830049513220027E-2</c:v>
                </c:pt>
                <c:pt idx="26">
                  <c:v>0</c:v>
                </c:pt>
                <c:pt idx="27">
                  <c:v>6.5950584196356665E-3</c:v>
                </c:pt>
                <c:pt idx="28">
                  <c:v>1.675306036830275E-2</c:v>
                </c:pt>
                <c:pt idx="29">
                  <c:v>1.4734998373856632E-2</c:v>
                </c:pt>
                <c:pt idx="30">
                  <c:v>2.9903920630662113E-2</c:v>
                </c:pt>
                <c:pt idx="31">
                  <c:v>1.3988003134104213E-2</c:v>
                </c:pt>
                <c:pt idx="32">
                  <c:v>4.9193436209313365E-2</c:v>
                </c:pt>
                <c:pt idx="33">
                  <c:v>0.18178902008480541</c:v>
                </c:pt>
                <c:pt idx="34">
                  <c:v>1.2277581596199658E-2</c:v>
                </c:pt>
              </c:numCache>
            </c:numRef>
          </c:xVal>
          <c:yVal>
            <c:numRef>
              <c:f>'All Cleaned Data'!$O$2:$O$36</c:f>
              <c:numCache>
                <c:formatCode>0.00%</c:formatCode>
                <c:ptCount val="35"/>
                <c:pt idx="0">
                  <c:v>6.1068016402262178E-3</c:v>
                </c:pt>
                <c:pt idx="1">
                  <c:v>3.4190048516686248E-4</c:v>
                </c:pt>
                <c:pt idx="2">
                  <c:v>2.1543913267242282E-4</c:v>
                </c:pt>
                <c:pt idx="3">
                  <c:v>3.2218827102738516E-4</c:v>
                </c:pt>
                <c:pt idx="4">
                  <c:v>3.7352687133153644E-4</c:v>
                </c:pt>
                <c:pt idx="5">
                  <c:v>2.8385896242289041E-3</c:v>
                </c:pt>
                <c:pt idx="6">
                  <c:v>2.3206987555866195E-4</c:v>
                </c:pt>
                <c:pt idx="7">
                  <c:v>7.9081912311626881E-3</c:v>
                </c:pt>
                <c:pt idx="8">
                  <c:v>4.3287828010730263E-3</c:v>
                </c:pt>
                <c:pt idx="9">
                  <c:v>2.9490186627875044E-3</c:v>
                </c:pt>
                <c:pt idx="10">
                  <c:v>1.9938134756908809E-3</c:v>
                </c:pt>
                <c:pt idx="11">
                  <c:v>7.0854087502411427E-4</c:v>
                </c:pt>
                <c:pt idx="12">
                  <c:v>1.0333398967836286E-3</c:v>
                </c:pt>
                <c:pt idx="13">
                  <c:v>7.9037374425074201E-4</c:v>
                </c:pt>
                <c:pt idx="14">
                  <c:v>1.0828909832577337E-3</c:v>
                </c:pt>
                <c:pt idx="15">
                  <c:v>1.1948055146615632E-4</c:v>
                </c:pt>
                <c:pt idx="16">
                  <c:v>1.0201645274510792E-3</c:v>
                </c:pt>
                <c:pt idx="17">
                  <c:v>1.3300437450146209E-3</c:v>
                </c:pt>
                <c:pt idx="18">
                  <c:v>1.308824149320114E-2</c:v>
                </c:pt>
                <c:pt idx="19">
                  <c:v>3.6215158468966014E-4</c:v>
                </c:pt>
                <c:pt idx="20">
                  <c:v>5.3488540829247028E-4</c:v>
                </c:pt>
                <c:pt idx="21">
                  <c:v>1.0359267662490711E-3</c:v>
                </c:pt>
                <c:pt idx="22">
                  <c:v>1.0132723898899671E-4</c:v>
                </c:pt>
                <c:pt idx="23">
                  <c:v>3.1912994574697416E-3</c:v>
                </c:pt>
                <c:pt idx="24">
                  <c:v>1.423567894420981E-3</c:v>
                </c:pt>
                <c:pt idx="25">
                  <c:v>6.6795586490306076E-4</c:v>
                </c:pt>
                <c:pt idx="26">
                  <c:v>5.7429439886973275E-3</c:v>
                </c:pt>
                <c:pt idx="27">
                  <c:v>2.1241161233088108E-3</c:v>
                </c:pt>
                <c:pt idx="28">
                  <c:v>7.8178138142839674E-4</c:v>
                </c:pt>
                <c:pt idx="29">
                  <c:v>1.9627017833977033E-3</c:v>
                </c:pt>
                <c:pt idx="30">
                  <c:v>4.6852824826831168E-4</c:v>
                </c:pt>
                <c:pt idx="31">
                  <c:v>5.2385071737220273E-4</c:v>
                </c:pt>
                <c:pt idx="32">
                  <c:v>4.2744765189256441E-4</c:v>
                </c:pt>
                <c:pt idx="33">
                  <c:v>1.5866419394087721E-3</c:v>
                </c:pt>
                <c:pt idx="34">
                  <c:v>1.1938613582565451E-3</c:v>
                </c:pt>
              </c:numCache>
            </c:numRef>
          </c:yVal>
          <c:smooth val="0"/>
          <c:extLst>
            <c:ext xmlns:c16="http://schemas.microsoft.com/office/drawing/2014/chart" uri="{C3380CC4-5D6E-409C-BE32-E72D297353CC}">
              <c16:uniqueId val="{00000001-6E8C-4EDD-B938-F7E1538A990B}"/>
            </c:ext>
          </c:extLst>
        </c:ser>
        <c:dLbls>
          <c:showLegendKey val="0"/>
          <c:showVal val="0"/>
          <c:showCatName val="0"/>
          <c:showSerName val="0"/>
          <c:showPercent val="0"/>
          <c:showBubbleSize val="0"/>
        </c:dLbls>
        <c:axId val="1367311391"/>
        <c:axId val="1369421375"/>
      </c:scatterChart>
      <c:valAx>
        <c:axId val="136731139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Beds Per 1000</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9421375"/>
        <c:crosses val="autoZero"/>
        <c:crossBetween val="midCat"/>
      </c:valAx>
      <c:valAx>
        <c:axId val="136942137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Dengue Case  Rate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731139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[India_healthcare_Capacity_Dashboard.xlsx]Analysis!PivotTable9</c:name>
    <c:fmtId val="21"/>
  </c:pivotSource>
  <c:chart>
    <c:autoTitleDeleted val="0"/>
    <c:pivotFmts>
      <c:pivotFmt>
        <c:idx val="0"/>
        <c:spPr>
          <a:solidFill>
            <a:schemeClr val="accent1">
              <a:alpha val="85000"/>
            </a:schemeClr>
          </a:solidFill>
          <a:ln w="9525" cap="flat" cmpd="sng" algn="ctr">
            <a:solidFill>
              <a:schemeClr val="accent1">
                <a:lumMod val="75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accent1">
                <a:lumMod val="75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accent1">
                <a:lumMod val="75000"/>
              </a:schemeClr>
            </a:solidFill>
            <a:round/>
          </a:ln>
          <a:effectLst/>
        </c:spPr>
        <c:marker>
          <c:symbol val="circle"/>
          <c:size val="6"/>
          <c:spPr>
            <a:solidFill>
              <a:schemeClr val="accent3">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a:gsLst>
              <a:gs pos="0">
                <a:schemeClr val="bg1">
                  <a:lumMod val="95000"/>
                </a:schemeClr>
              </a:gs>
              <a:gs pos="100000">
                <a:srgbClr val="003399"/>
              </a:gs>
            </a:gsLst>
            <a:lin ang="3600000" scaled="0"/>
          </a:gradFill>
          <a:ln w="9525" cap="flat" cmpd="sng" algn="ctr">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lumMod val="75000"/>
            </a:schemeClr>
          </a:solidFill>
          <a:ln w="31750" cap="flat" cmpd="sng" algn="ctr">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FF0000">
              <a:alpha val="85000"/>
            </a:srgbClr>
          </a:solidFill>
          <a:ln w="15875" cap="flat" cmpd="sng" algn="ctr">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Analysis!$D$17</c:f>
              <c:strCache>
                <c:ptCount val="1"/>
                <c:pt idx="0">
                  <c:v>Sum of Projected_Population</c:v>
                </c:pt>
              </c:strCache>
            </c:strRef>
          </c:tx>
          <c:spPr>
            <a:gradFill>
              <a:gsLst>
                <a:gs pos="0">
                  <a:schemeClr val="bg1">
                    <a:lumMod val="95000"/>
                  </a:schemeClr>
                </a:gs>
                <a:gs pos="100000">
                  <a:srgbClr val="003399"/>
                </a:gs>
              </a:gsLst>
              <a:lin ang="3600000" scaled="0"/>
            </a:gradFill>
            <a:ln w="9525" cap="flat" cmpd="sng" algn="ctr">
              <a:solidFill>
                <a:schemeClr val="accent1">
                  <a:lumMod val="75000"/>
                </a:schemeClr>
              </a:solidFill>
              <a:round/>
            </a:ln>
            <a:effectLst/>
          </c:spPr>
          <c:invertIfNegative val="0"/>
          <c:cat>
            <c:strRef>
              <c:f>Analysis!$C$18:$C$23</c:f>
              <c:strCache>
                <c:ptCount val="5"/>
                <c:pt idx="0">
                  <c:v>Karnataka</c:v>
                </c:pt>
                <c:pt idx="1">
                  <c:v>Kerala</c:v>
                </c:pt>
                <c:pt idx="2">
                  <c:v>Tamil Nadu</c:v>
                </c:pt>
                <c:pt idx="3">
                  <c:v>Uttar Pradesh</c:v>
                </c:pt>
                <c:pt idx="4">
                  <c:v>Uttarakhand</c:v>
                </c:pt>
              </c:strCache>
            </c:strRef>
          </c:cat>
          <c:val>
            <c:numRef>
              <c:f>Analysis!$D$18:$D$23</c:f>
              <c:numCache>
                <c:formatCode>General</c:formatCode>
                <c:ptCount val="5"/>
                <c:pt idx="0">
                  <c:v>62114490.648214288</c:v>
                </c:pt>
                <c:pt idx="1">
                  <c:v>31784668.85653846</c:v>
                </c:pt>
                <c:pt idx="2">
                  <c:v>79621666.650580645</c:v>
                </c:pt>
                <c:pt idx="3">
                  <c:v>232978236.18652174</c:v>
                </c:pt>
                <c:pt idx="4">
                  <c:v>11403328.974615386</c:v>
                </c:pt>
              </c:numCache>
            </c:numRef>
          </c:val>
          <c:extLst>
            <c:ext xmlns:c16="http://schemas.microsoft.com/office/drawing/2014/chart" uri="{C3380CC4-5D6E-409C-BE32-E72D297353CC}">
              <c16:uniqueId val="{00000000-A861-4766-8289-D66E77078220}"/>
            </c:ext>
          </c:extLst>
        </c:ser>
        <c:ser>
          <c:idx val="1"/>
          <c:order val="1"/>
          <c:tx>
            <c:strRef>
              <c:f>Analysis!$E$17</c:f>
              <c:strCache>
                <c:ptCount val="1"/>
                <c:pt idx="0">
                  <c:v>Sum of Hospitals_Count</c:v>
                </c:pt>
              </c:strCache>
            </c:strRef>
          </c:tx>
          <c:spPr>
            <a:solidFill>
              <a:schemeClr val="accent6">
                <a:lumMod val="75000"/>
              </a:schemeClr>
            </a:solidFill>
            <a:ln w="31750" cap="flat" cmpd="sng" algn="ctr">
              <a:solidFill>
                <a:schemeClr val="accent6">
                  <a:lumMod val="75000"/>
                </a:schemeClr>
              </a:solidFill>
              <a:round/>
            </a:ln>
            <a:effectLst/>
          </c:spPr>
          <c:invertIfNegative val="0"/>
          <c:cat>
            <c:strRef>
              <c:f>Analysis!$C$18:$C$23</c:f>
              <c:strCache>
                <c:ptCount val="5"/>
                <c:pt idx="0">
                  <c:v>Karnataka</c:v>
                </c:pt>
                <c:pt idx="1">
                  <c:v>Kerala</c:v>
                </c:pt>
                <c:pt idx="2">
                  <c:v>Tamil Nadu</c:v>
                </c:pt>
                <c:pt idx="3">
                  <c:v>Uttar Pradesh</c:v>
                </c:pt>
                <c:pt idx="4">
                  <c:v>Uttarakhand</c:v>
                </c:pt>
              </c:strCache>
            </c:strRef>
          </c:cat>
          <c:val>
            <c:numRef>
              <c:f>Analysis!$E$18:$E$23</c:f>
              <c:numCache>
                <c:formatCode>General</c:formatCode>
                <c:ptCount val="5"/>
                <c:pt idx="0">
                  <c:v>213</c:v>
                </c:pt>
                <c:pt idx="1">
                  <c:v>162</c:v>
                </c:pt>
                <c:pt idx="2">
                  <c:v>293</c:v>
                </c:pt>
                <c:pt idx="3">
                  <c:v>2316</c:v>
                </c:pt>
                <c:pt idx="4">
                  <c:v>405</c:v>
                </c:pt>
              </c:numCache>
            </c:numRef>
          </c:val>
          <c:extLst>
            <c:ext xmlns:c16="http://schemas.microsoft.com/office/drawing/2014/chart" uri="{C3380CC4-5D6E-409C-BE32-E72D297353CC}">
              <c16:uniqueId val="{00000001-A861-4766-8289-D66E77078220}"/>
            </c:ext>
          </c:extLst>
        </c:ser>
        <c:ser>
          <c:idx val="2"/>
          <c:order val="2"/>
          <c:tx>
            <c:strRef>
              <c:f>Analysis!$F$17</c:f>
              <c:strCache>
                <c:ptCount val="1"/>
                <c:pt idx="0">
                  <c:v>Sum of Hospitals_Beds_Count</c:v>
                </c:pt>
              </c:strCache>
            </c:strRef>
          </c:tx>
          <c:spPr>
            <a:solidFill>
              <a:srgbClr val="FF0000">
                <a:alpha val="85000"/>
              </a:srgbClr>
            </a:solidFill>
            <a:ln w="15875" cap="flat" cmpd="sng" algn="ctr">
              <a:solidFill>
                <a:srgbClr val="FF0000"/>
              </a:solidFill>
              <a:round/>
            </a:ln>
            <a:effectLst/>
          </c:spPr>
          <c:invertIfNegative val="0"/>
          <c:cat>
            <c:strRef>
              <c:f>Analysis!$C$18:$C$23</c:f>
              <c:strCache>
                <c:ptCount val="5"/>
                <c:pt idx="0">
                  <c:v>Karnataka</c:v>
                </c:pt>
                <c:pt idx="1">
                  <c:v>Kerala</c:v>
                </c:pt>
                <c:pt idx="2">
                  <c:v>Tamil Nadu</c:v>
                </c:pt>
                <c:pt idx="3">
                  <c:v>Uttar Pradesh</c:v>
                </c:pt>
                <c:pt idx="4">
                  <c:v>Uttarakhand</c:v>
                </c:pt>
              </c:strCache>
            </c:strRef>
          </c:cat>
          <c:val>
            <c:numRef>
              <c:f>Analysis!$F$18:$F$23</c:f>
              <c:numCache>
                <c:formatCode>General</c:formatCode>
                <c:ptCount val="5"/>
                <c:pt idx="0">
                  <c:v>10195</c:v>
                </c:pt>
                <c:pt idx="1">
                  <c:v>4054</c:v>
                </c:pt>
                <c:pt idx="2">
                  <c:v>2381</c:v>
                </c:pt>
                <c:pt idx="3">
                  <c:v>11461</c:v>
                </c:pt>
                <c:pt idx="4">
                  <c:v>2073</c:v>
                </c:pt>
              </c:numCache>
            </c:numRef>
          </c:val>
          <c:extLst>
            <c:ext xmlns:c16="http://schemas.microsoft.com/office/drawing/2014/chart" uri="{C3380CC4-5D6E-409C-BE32-E72D297353CC}">
              <c16:uniqueId val="{00000002-A861-4766-8289-D66E77078220}"/>
            </c:ext>
          </c:extLst>
        </c:ser>
        <c:dLbls>
          <c:showLegendKey val="0"/>
          <c:showVal val="0"/>
          <c:showCatName val="0"/>
          <c:showSerName val="0"/>
          <c:showPercent val="0"/>
          <c:showBubbleSize val="0"/>
        </c:dLbls>
        <c:gapWidth val="65"/>
        <c:axId val="205092415"/>
        <c:axId val="348955391"/>
      </c:barChart>
      <c:catAx>
        <c:axId val="205092415"/>
        <c:scaling>
          <c:orientation val="minMax"/>
        </c:scaling>
        <c:delete val="0"/>
        <c:axPos val="b"/>
        <c:numFmt formatCode="General" sourceLinked="1"/>
        <c:majorTickMark val="none"/>
        <c:minorTickMark val="none"/>
        <c:tickLblPos val="nextTo"/>
        <c:spPr>
          <a:noFill/>
          <a:ln w="19050" cap="flat" cmpd="sng" algn="ctr">
            <a:noFill/>
            <a:round/>
          </a:ln>
          <a:effectLst/>
        </c:spPr>
        <c:txPr>
          <a:bodyPr rot="0" spcFirstLastPara="1" vertOverflow="ellipsis" wrap="square" anchor="ctr" anchorCtr="1"/>
          <a:lstStyle/>
          <a:p>
            <a:pPr>
              <a:defRPr sz="900" b="0" i="0" u="none" strike="noStrike" kern="1200" cap="all" baseline="0">
                <a:solidFill>
                  <a:schemeClr val="dk1">
                    <a:lumMod val="75000"/>
                    <a:lumOff val="25000"/>
                  </a:schemeClr>
                </a:solidFill>
                <a:latin typeface="Aptos SemiBold" panose="020B0004020202020204" pitchFamily="34" charset="0"/>
                <a:ea typeface="+mn-ea"/>
                <a:cs typeface="+mn-cs"/>
              </a:defRPr>
            </a:pPr>
            <a:endParaRPr lang="en-US"/>
          </a:p>
        </c:txPr>
        <c:crossAx val="348955391"/>
        <c:crosses val="autoZero"/>
        <c:auto val="1"/>
        <c:lblAlgn val="ctr"/>
        <c:lblOffset val="100"/>
        <c:noMultiLvlLbl val="0"/>
      </c:catAx>
      <c:valAx>
        <c:axId val="3489553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Aptos SemiBold" panose="020B0004020202020204" pitchFamily="34" charset="0"/>
                <a:ea typeface="+mn-ea"/>
                <a:cs typeface="+mn-cs"/>
              </a:defRPr>
            </a:pPr>
            <a:endParaRPr lang="en-US"/>
          </a:p>
        </c:txPr>
        <c:crossAx val="205092415"/>
        <c:crosses val="autoZero"/>
        <c:crossBetween val="between"/>
      </c:valAx>
      <c:spPr>
        <a:noFill/>
        <a:ln w="25400">
          <a:noFill/>
        </a:ln>
        <a:effectLst/>
      </c:spPr>
    </c:plotArea>
    <c:legend>
      <c:legendPos val="r"/>
      <c:layout>
        <c:manualLayout>
          <c:xMode val="edge"/>
          <c:yMode val="edge"/>
          <c:x val="0.73008611061880935"/>
          <c:y val="0.27947550550594585"/>
          <c:w val="0.24300636053933772"/>
          <c:h val="0.551911318347776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Aptos SemiBold"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95000">
          <a:schemeClr val="bg1">
            <a:lumMod val="95000"/>
          </a:schemeClr>
        </a:gs>
        <a:gs pos="6000">
          <a:schemeClr val="accent4">
            <a:lumMod val="60000"/>
            <a:lumOff val="40000"/>
          </a:schemeClr>
        </a:gs>
      </a:gsLst>
      <a:lin ang="4800000" scaled="0"/>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[India_healthcare_Capacity_Dashboard.xlsx]Analysis!PivotTable13</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rgbClr val="FFFF00"/>
              </a:gs>
              <a:gs pos="100000">
                <a:schemeClr val="tx2">
                  <a:lumMod val="10000"/>
                  <a:lumOff val="90000"/>
                </a:schemeClr>
              </a:gs>
            </a:gsLst>
            <a:lin ang="36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44450" cap="rnd">
            <a:solidFill>
              <a:srgbClr val="FF0000"/>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57150" cap="rnd">
            <a:solidFill>
              <a:srgbClr val="FF0000"/>
            </a:solidFill>
            <a:round/>
          </a:ln>
          <a:effectLst/>
        </c:spPr>
        <c:marker>
          <c:symbol val="circle"/>
          <c:size val="5"/>
          <c:spPr>
            <a:solidFill>
              <a:srgbClr val="FF0000"/>
            </a:solidFill>
            <a:ln w="3175">
              <a:solidFill>
                <a:schemeClr val="accent2"/>
              </a:solidFill>
            </a:ln>
            <a:effectLst/>
          </c:spPr>
        </c:marker>
      </c:pivotFmt>
    </c:pivotFmts>
    <c:plotArea>
      <c:layout/>
      <c:barChart>
        <c:barDir val="col"/>
        <c:grouping val="clustered"/>
        <c:varyColors val="0"/>
        <c:ser>
          <c:idx val="0"/>
          <c:order val="0"/>
          <c:tx>
            <c:strRef>
              <c:f>Analysis!$C$60</c:f>
              <c:strCache>
                <c:ptCount val="1"/>
                <c:pt idx="0">
                  <c:v>Sum of Dengue_Cases_2019_to_2024</c:v>
                </c:pt>
              </c:strCache>
            </c:strRef>
          </c:tx>
          <c:spPr>
            <a:gradFill>
              <a:gsLst>
                <a:gs pos="0">
                  <a:srgbClr val="FFFF00"/>
                </a:gs>
                <a:gs pos="100000">
                  <a:schemeClr val="tx2">
                    <a:lumMod val="10000"/>
                    <a:lumOff val="90000"/>
                  </a:schemeClr>
                </a:gs>
              </a:gsLst>
              <a:lin ang="3600000" scaled="0"/>
            </a:gradFill>
            <a:ln>
              <a:noFill/>
            </a:ln>
            <a:effectLst/>
          </c:spPr>
          <c:invertIfNegative val="0"/>
          <c:cat>
            <c:strRef>
              <c:f>Analysis!$C$61</c:f>
              <c:strCache>
                <c:ptCount val="1"/>
                <c:pt idx="0">
                  <c:v>Total</c:v>
                </c:pt>
              </c:strCache>
            </c:strRef>
          </c:cat>
          <c:val>
            <c:numRef>
              <c:f>Analysis!$C$61</c:f>
              <c:numCache>
                <c:formatCode>General</c:formatCode>
                <c:ptCount val="1"/>
                <c:pt idx="0">
                  <c:v>42041</c:v>
                </c:pt>
              </c:numCache>
            </c:numRef>
          </c:val>
          <c:extLst>
            <c:ext xmlns:c16="http://schemas.microsoft.com/office/drawing/2014/chart" uri="{C3380CC4-5D6E-409C-BE32-E72D297353CC}">
              <c16:uniqueId val="{00000000-330D-49C5-87D2-5544DADCB106}"/>
            </c:ext>
          </c:extLst>
        </c:ser>
        <c:dLbls>
          <c:showLegendKey val="0"/>
          <c:showVal val="0"/>
          <c:showCatName val="0"/>
          <c:showSerName val="0"/>
          <c:showPercent val="0"/>
          <c:showBubbleSize val="0"/>
        </c:dLbls>
        <c:gapWidth val="219"/>
        <c:overlap val="-27"/>
        <c:axId val="737247871"/>
        <c:axId val="565626095"/>
      </c:barChart>
      <c:lineChart>
        <c:grouping val="stacked"/>
        <c:varyColors val="0"/>
        <c:ser>
          <c:idx val="1"/>
          <c:order val="1"/>
          <c:tx>
            <c:strRef>
              <c:f>Analysis!$D$60</c:f>
              <c:strCache>
                <c:ptCount val="1"/>
                <c:pt idx="0">
                  <c:v>Sum of Dengue_Deaths_2019 to 2024</c:v>
                </c:pt>
              </c:strCache>
            </c:strRef>
          </c:tx>
          <c:spPr>
            <a:ln w="44450" cap="rnd">
              <a:solidFill>
                <a:srgbClr val="FF0000"/>
              </a:solidFill>
              <a:round/>
            </a:ln>
            <a:effectLst/>
          </c:spPr>
          <c:marker>
            <c:symbol val="circle"/>
            <c:size val="5"/>
            <c:spPr>
              <a:solidFill>
                <a:schemeClr val="accent2"/>
              </a:solidFill>
              <a:ln w="9525">
                <a:solidFill>
                  <a:schemeClr val="accent2"/>
                </a:solidFill>
              </a:ln>
              <a:effectLst/>
            </c:spPr>
          </c:marker>
          <c:dPt>
            <c:idx val="0"/>
            <c:marker>
              <c:symbol val="circle"/>
              <c:size val="5"/>
              <c:spPr>
                <a:solidFill>
                  <a:srgbClr val="FF0000"/>
                </a:solidFill>
                <a:ln w="3175">
                  <a:solidFill>
                    <a:schemeClr val="accent2"/>
                  </a:solidFill>
                </a:ln>
                <a:effectLst/>
              </c:spPr>
            </c:marker>
            <c:bubble3D val="0"/>
            <c:spPr>
              <a:ln w="57150" cap="rnd">
                <a:solidFill>
                  <a:srgbClr val="FF0000"/>
                </a:solidFill>
                <a:round/>
              </a:ln>
              <a:effectLst/>
            </c:spPr>
            <c:extLst>
              <c:ext xmlns:c16="http://schemas.microsoft.com/office/drawing/2014/chart" uri="{C3380CC4-5D6E-409C-BE32-E72D297353CC}">
                <c16:uniqueId val="{00000002-330D-49C5-87D2-5544DADCB106}"/>
              </c:ext>
            </c:extLst>
          </c:dPt>
          <c:cat>
            <c:strRef>
              <c:f>Analysis!$C$61</c:f>
              <c:strCache>
                <c:ptCount val="1"/>
                <c:pt idx="0">
                  <c:v>Total</c:v>
                </c:pt>
              </c:strCache>
            </c:strRef>
          </c:cat>
          <c:val>
            <c:numRef>
              <c:f>Analysis!$D$61</c:f>
              <c:numCache>
                <c:formatCode>General</c:formatCode>
                <c:ptCount val="1"/>
                <c:pt idx="0">
                  <c:v>110</c:v>
                </c:pt>
              </c:numCache>
            </c:numRef>
          </c:val>
          <c:smooth val="1"/>
          <c:extLst>
            <c:ext xmlns:c16="http://schemas.microsoft.com/office/drawing/2014/chart" uri="{C3380CC4-5D6E-409C-BE32-E72D297353CC}">
              <c16:uniqueId val="{00000001-330D-49C5-87D2-5544DADCB106}"/>
            </c:ext>
          </c:extLst>
        </c:ser>
        <c:dLbls>
          <c:showLegendKey val="0"/>
          <c:showVal val="0"/>
          <c:showCatName val="0"/>
          <c:showSerName val="0"/>
          <c:showPercent val="0"/>
          <c:showBubbleSize val="0"/>
        </c:dLbls>
        <c:marker val="1"/>
        <c:smooth val="0"/>
        <c:axId val="1190317215"/>
        <c:axId val="896808303"/>
      </c:lineChart>
      <c:catAx>
        <c:axId val="737247871"/>
        <c:scaling>
          <c:orientation val="minMax"/>
        </c:scaling>
        <c:delete val="1"/>
        <c:axPos val="b"/>
        <c:numFmt formatCode="General" sourceLinked="1"/>
        <c:majorTickMark val="none"/>
        <c:minorTickMark val="none"/>
        <c:tickLblPos val="nextTo"/>
        <c:crossAx val="565626095"/>
        <c:crosses val="autoZero"/>
        <c:auto val="1"/>
        <c:lblAlgn val="ctr"/>
        <c:lblOffset val="100"/>
        <c:noMultiLvlLbl val="0"/>
      </c:catAx>
      <c:valAx>
        <c:axId val="5656260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ptos SemiBold" panose="020B0004020202020204" pitchFamily="34" charset="0"/>
                <a:ea typeface="+mn-ea"/>
                <a:cs typeface="+mn-cs"/>
              </a:defRPr>
            </a:pPr>
            <a:endParaRPr lang="en-US"/>
          </a:p>
        </c:txPr>
        <c:crossAx val="737247871"/>
        <c:crosses val="autoZero"/>
        <c:crossBetween val="between"/>
      </c:valAx>
      <c:valAx>
        <c:axId val="896808303"/>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0317215"/>
        <c:crosses val="max"/>
        <c:crossBetween val="between"/>
      </c:valAx>
      <c:catAx>
        <c:axId val="1190317215"/>
        <c:scaling>
          <c:orientation val="minMax"/>
        </c:scaling>
        <c:delete val="1"/>
        <c:axPos val="b"/>
        <c:numFmt formatCode="General" sourceLinked="1"/>
        <c:majorTickMark val="out"/>
        <c:minorTickMark val="none"/>
        <c:tickLblPos val="nextTo"/>
        <c:crossAx val="896808303"/>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ptos SemiBold"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rgbClr val="00B0F0"/>
        </a:gs>
        <a:gs pos="100000">
          <a:schemeClr val="bg1">
            <a:lumMod val="95000"/>
          </a:schemeClr>
        </a:gs>
      </a:gsLst>
      <a:lin ang="4800000" scaled="0"/>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[India_healthcare_Capacity_Dashboard.xlsx]Analysis!PivotTable10</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bg1">
                  <a:lumMod val="85000"/>
                </a:schemeClr>
              </a:gs>
              <a:gs pos="100000">
                <a:srgbClr val="FFC000"/>
              </a:gs>
            </a:gsLst>
            <a:lin ang="36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1000">
                <a:schemeClr val="accent6">
                  <a:lumMod val="20000"/>
                  <a:lumOff val="80000"/>
                </a:schemeClr>
              </a:gs>
              <a:gs pos="100000">
                <a:schemeClr val="accent6">
                  <a:lumMod val="60000"/>
                  <a:lumOff val="40000"/>
                </a:schemeClr>
              </a:gs>
            </a:gsLst>
            <a:lin ang="36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Analysis!$B$85</c:f>
              <c:strCache>
                <c:ptCount val="1"/>
                <c:pt idx="0">
                  <c:v>Sum of Docotrs_in_Position</c:v>
                </c:pt>
              </c:strCache>
            </c:strRef>
          </c:tx>
          <c:spPr>
            <a:gradFill>
              <a:gsLst>
                <a:gs pos="0">
                  <a:schemeClr val="bg1">
                    <a:lumMod val="85000"/>
                  </a:schemeClr>
                </a:gs>
                <a:gs pos="100000">
                  <a:srgbClr val="FFC000"/>
                </a:gs>
              </a:gsLst>
              <a:lin ang="3600000" scaled="0"/>
            </a:gradFill>
            <a:ln>
              <a:noFill/>
            </a:ln>
            <a:effectLst/>
          </c:spPr>
          <c:invertIfNegative val="0"/>
          <c:cat>
            <c:strRef>
              <c:f>Analysis!$B$86</c:f>
              <c:strCache>
                <c:ptCount val="1"/>
                <c:pt idx="0">
                  <c:v>Total</c:v>
                </c:pt>
              </c:strCache>
            </c:strRef>
          </c:cat>
          <c:val>
            <c:numRef>
              <c:f>Analysis!$B$86</c:f>
              <c:numCache>
                <c:formatCode>General</c:formatCode>
                <c:ptCount val="1"/>
                <c:pt idx="0">
                  <c:v>1786</c:v>
                </c:pt>
              </c:numCache>
            </c:numRef>
          </c:val>
          <c:extLst>
            <c:ext xmlns:c16="http://schemas.microsoft.com/office/drawing/2014/chart" uri="{C3380CC4-5D6E-409C-BE32-E72D297353CC}">
              <c16:uniqueId val="{00000000-4405-4F73-8E09-431199CA19CD}"/>
            </c:ext>
          </c:extLst>
        </c:ser>
        <c:ser>
          <c:idx val="1"/>
          <c:order val="1"/>
          <c:tx>
            <c:strRef>
              <c:f>Analysis!$C$85</c:f>
              <c:strCache>
                <c:ptCount val="1"/>
                <c:pt idx="0">
                  <c:v>Sum of Doctors_Senctioned</c:v>
                </c:pt>
              </c:strCache>
            </c:strRef>
          </c:tx>
          <c:spPr>
            <a:gradFill>
              <a:gsLst>
                <a:gs pos="1000">
                  <a:schemeClr val="accent6">
                    <a:lumMod val="20000"/>
                    <a:lumOff val="80000"/>
                  </a:schemeClr>
                </a:gs>
                <a:gs pos="100000">
                  <a:schemeClr val="accent6">
                    <a:lumMod val="60000"/>
                    <a:lumOff val="40000"/>
                  </a:schemeClr>
                </a:gs>
              </a:gsLst>
              <a:lin ang="3600000" scaled="0"/>
            </a:gradFill>
            <a:ln>
              <a:noFill/>
            </a:ln>
            <a:effectLst/>
          </c:spPr>
          <c:invertIfNegative val="0"/>
          <c:cat>
            <c:strRef>
              <c:f>Analysis!$B$86</c:f>
              <c:strCache>
                <c:ptCount val="1"/>
                <c:pt idx="0">
                  <c:v>Total</c:v>
                </c:pt>
              </c:strCache>
            </c:strRef>
          </c:cat>
          <c:val>
            <c:numRef>
              <c:f>Analysis!$C$86</c:f>
              <c:numCache>
                <c:formatCode>General</c:formatCode>
                <c:ptCount val="1"/>
                <c:pt idx="0">
                  <c:v>2078</c:v>
                </c:pt>
              </c:numCache>
            </c:numRef>
          </c:val>
          <c:extLst>
            <c:ext xmlns:c16="http://schemas.microsoft.com/office/drawing/2014/chart" uri="{C3380CC4-5D6E-409C-BE32-E72D297353CC}">
              <c16:uniqueId val="{00000001-4405-4F73-8E09-431199CA19CD}"/>
            </c:ext>
          </c:extLst>
        </c:ser>
        <c:dLbls>
          <c:showLegendKey val="0"/>
          <c:showVal val="0"/>
          <c:showCatName val="0"/>
          <c:showSerName val="0"/>
          <c:showPercent val="0"/>
          <c:showBubbleSize val="0"/>
        </c:dLbls>
        <c:gapWidth val="219"/>
        <c:overlap val="-27"/>
        <c:axId val="1190445583"/>
        <c:axId val="1190535871"/>
      </c:barChart>
      <c:catAx>
        <c:axId val="1190445583"/>
        <c:scaling>
          <c:orientation val="minMax"/>
        </c:scaling>
        <c:delete val="1"/>
        <c:axPos val="b"/>
        <c:numFmt formatCode="General" sourceLinked="1"/>
        <c:majorTickMark val="none"/>
        <c:minorTickMark val="none"/>
        <c:tickLblPos val="nextTo"/>
        <c:crossAx val="1190535871"/>
        <c:crosses val="autoZero"/>
        <c:auto val="1"/>
        <c:lblAlgn val="ctr"/>
        <c:lblOffset val="100"/>
        <c:noMultiLvlLbl val="0"/>
      </c:catAx>
      <c:valAx>
        <c:axId val="11905358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ptos SemiBold" panose="020B0004020202020204" pitchFamily="34" charset="0"/>
                <a:ea typeface="+mn-ea"/>
                <a:cs typeface="+mn-cs"/>
              </a:defRPr>
            </a:pPr>
            <a:endParaRPr lang="en-US"/>
          </a:p>
        </c:txPr>
        <c:crossAx val="1190445583"/>
        <c:crosses val="autoZero"/>
        <c:crossBetween val="between"/>
      </c:valAx>
      <c:spPr>
        <a:noFill/>
        <a:ln>
          <a:noFill/>
        </a:ln>
        <a:effectLst/>
      </c:spPr>
    </c:plotArea>
    <c:legend>
      <c:legendPos val="r"/>
      <c:layout>
        <c:manualLayout>
          <c:xMode val="edge"/>
          <c:yMode val="edge"/>
          <c:x val="0.56324582338902152"/>
          <c:y val="0.24577566570698484"/>
          <c:w val="0.34526650755767702"/>
          <c:h val="0.5671858198341946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ptos SemiBold"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4">
            <a:lumMod val="60000"/>
            <a:lumOff val="40000"/>
          </a:schemeClr>
        </a:gs>
        <a:gs pos="100000">
          <a:schemeClr val="bg1">
            <a:lumMod val="95000"/>
          </a:schemeClr>
        </a:gs>
      </a:gsLst>
      <a:lin ang="4800000" scaled="0"/>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832250599892853"/>
          <c:y val="8.1481481481481488E-2"/>
          <c:w val="0.77532380707986115"/>
          <c:h val="0.67167920676582094"/>
        </c:manualLayout>
      </c:layout>
      <c:scatterChart>
        <c:scatterStyle val="lineMarker"/>
        <c:varyColors val="0"/>
        <c:ser>
          <c:idx val="0"/>
          <c:order val="0"/>
          <c:tx>
            <c:v>beds Vs Dengue </c:v>
          </c:tx>
          <c:spPr>
            <a:ln w="25400" cap="rnd">
              <a:noFill/>
              <a:round/>
            </a:ln>
            <a:effectLst/>
          </c:spPr>
          <c:marker>
            <c:symbol val="circle"/>
            <c:size val="5"/>
            <c:spPr>
              <a:solidFill>
                <a:schemeClr val="accent1"/>
              </a:solidFill>
              <a:ln w="9525">
                <a:solidFill>
                  <a:schemeClr val="accent1"/>
                </a:solidFill>
              </a:ln>
              <a:effectLst/>
            </c:spPr>
          </c:marker>
          <c:xVal>
            <c:numRef>
              <c:f>'All Cleaned Data'!$K$2:$K$36</c:f>
              <c:numCache>
                <c:formatCode>0.00%</c:formatCode>
                <c:ptCount val="35"/>
                <c:pt idx="0">
                  <c:v>0.23507790745096649</c:v>
                </c:pt>
                <c:pt idx="1">
                  <c:v>4.8650608976610974E-3</c:v>
                </c:pt>
                <c:pt idx="2">
                  <c:v>7.0682130141871011E-2</c:v>
                </c:pt>
                <c:pt idx="3">
                  <c:v>6.209909323111505E-3</c:v>
                </c:pt>
                <c:pt idx="4">
                  <c:v>8.4405824734178451E-3</c:v>
                </c:pt>
                <c:pt idx="5">
                  <c:v>6.4678772411937438E-2</c:v>
                </c:pt>
                <c:pt idx="6">
                  <c:v>2.7394420386351325E-2</c:v>
                </c:pt>
                <c:pt idx="7">
                  <c:v>0</c:v>
                </c:pt>
                <c:pt idx="8">
                  <c:v>5.7601900213879259E-2</c:v>
                </c:pt>
                <c:pt idx="9">
                  <c:v>3.7755493388936363E-2</c:v>
                </c:pt>
                <c:pt idx="10">
                  <c:v>9.4973649207250613E-2</c:v>
                </c:pt>
                <c:pt idx="11">
                  <c:v>5.0664490284409815E-2</c:v>
                </c:pt>
                <c:pt idx="12">
                  <c:v>2.4388982198758218E-2</c:v>
                </c:pt>
                <c:pt idx="13">
                  <c:v>9.2892792322136528E-2</c:v>
                </c:pt>
                <c:pt idx="14">
                  <c:v>4.8122784703638101E-3</c:v>
                </c:pt>
                <c:pt idx="15">
                  <c:v>1.0279791792810893E-2</c:v>
                </c:pt>
                <c:pt idx="16">
                  <c:v>0.1641323931599058</c:v>
                </c:pt>
                <c:pt idx="17">
                  <c:v>0.1275457680021117</c:v>
                </c:pt>
                <c:pt idx="18">
                  <c:v>0</c:v>
                </c:pt>
                <c:pt idx="19">
                  <c:v>7.9012392789434491E-3</c:v>
                </c:pt>
                <c:pt idx="20">
                  <c:v>7.6516116236113638E-2</c:v>
                </c:pt>
                <c:pt idx="21">
                  <c:v>0</c:v>
                </c:pt>
                <c:pt idx="22">
                  <c:v>2.584878545637671E-2</c:v>
                </c:pt>
                <c:pt idx="23">
                  <c:v>7.3295807475189281E-2</c:v>
                </c:pt>
                <c:pt idx="24">
                  <c:v>2.7728241028846536E-3</c:v>
                </c:pt>
                <c:pt idx="25">
                  <c:v>1.8830049513220027E-2</c:v>
                </c:pt>
                <c:pt idx="26">
                  <c:v>0</c:v>
                </c:pt>
                <c:pt idx="27">
                  <c:v>6.5950584196356665E-3</c:v>
                </c:pt>
                <c:pt idx="28">
                  <c:v>1.675306036830275E-2</c:v>
                </c:pt>
                <c:pt idx="29">
                  <c:v>1.4734998373856632E-2</c:v>
                </c:pt>
                <c:pt idx="30">
                  <c:v>2.9903920630662113E-2</c:v>
                </c:pt>
                <c:pt idx="31">
                  <c:v>1.3988003134104213E-2</c:v>
                </c:pt>
                <c:pt idx="32">
                  <c:v>4.9193436209313365E-2</c:v>
                </c:pt>
                <c:pt idx="33">
                  <c:v>0.18178902008480541</c:v>
                </c:pt>
                <c:pt idx="34">
                  <c:v>1.2277581596199658E-2</c:v>
                </c:pt>
              </c:numCache>
            </c:numRef>
          </c:xVal>
          <c:yVal>
            <c:numRef>
              <c:f>'All Cleaned Data'!$O$2:$O$36</c:f>
              <c:numCache>
                <c:formatCode>0.00%</c:formatCode>
                <c:ptCount val="35"/>
                <c:pt idx="0">
                  <c:v>6.1068016402262178E-3</c:v>
                </c:pt>
                <c:pt idx="1">
                  <c:v>3.4190048516686248E-4</c:v>
                </c:pt>
                <c:pt idx="2">
                  <c:v>2.1543913267242282E-4</c:v>
                </c:pt>
                <c:pt idx="3">
                  <c:v>3.2218827102738516E-4</c:v>
                </c:pt>
                <c:pt idx="4">
                  <c:v>3.7352687133153644E-4</c:v>
                </c:pt>
                <c:pt idx="5">
                  <c:v>2.8385896242289041E-3</c:v>
                </c:pt>
                <c:pt idx="6">
                  <c:v>2.3206987555866195E-4</c:v>
                </c:pt>
                <c:pt idx="7">
                  <c:v>7.9081912311626881E-3</c:v>
                </c:pt>
                <c:pt idx="8">
                  <c:v>4.3287828010730263E-3</c:v>
                </c:pt>
                <c:pt idx="9">
                  <c:v>2.9490186627875044E-3</c:v>
                </c:pt>
                <c:pt idx="10">
                  <c:v>1.9938134756908809E-3</c:v>
                </c:pt>
                <c:pt idx="11">
                  <c:v>7.0854087502411427E-4</c:v>
                </c:pt>
                <c:pt idx="12">
                  <c:v>1.0333398967836286E-3</c:v>
                </c:pt>
                <c:pt idx="13">
                  <c:v>7.9037374425074201E-4</c:v>
                </c:pt>
                <c:pt idx="14">
                  <c:v>1.0828909832577337E-3</c:v>
                </c:pt>
                <c:pt idx="15">
                  <c:v>1.1948055146615632E-4</c:v>
                </c:pt>
                <c:pt idx="16">
                  <c:v>1.0201645274510792E-3</c:v>
                </c:pt>
                <c:pt idx="17">
                  <c:v>1.3300437450146209E-3</c:v>
                </c:pt>
                <c:pt idx="18">
                  <c:v>1.308824149320114E-2</c:v>
                </c:pt>
                <c:pt idx="19">
                  <c:v>3.6215158468966014E-4</c:v>
                </c:pt>
                <c:pt idx="20">
                  <c:v>5.3488540829247028E-4</c:v>
                </c:pt>
                <c:pt idx="21">
                  <c:v>1.0359267662490711E-3</c:v>
                </c:pt>
                <c:pt idx="22">
                  <c:v>1.0132723898899671E-4</c:v>
                </c:pt>
                <c:pt idx="23">
                  <c:v>3.1912994574697416E-3</c:v>
                </c:pt>
                <c:pt idx="24">
                  <c:v>1.423567894420981E-3</c:v>
                </c:pt>
                <c:pt idx="25">
                  <c:v>6.6795586490306076E-4</c:v>
                </c:pt>
                <c:pt idx="26">
                  <c:v>5.7429439886973275E-3</c:v>
                </c:pt>
                <c:pt idx="27">
                  <c:v>2.1241161233088108E-3</c:v>
                </c:pt>
                <c:pt idx="28">
                  <c:v>7.8178138142839674E-4</c:v>
                </c:pt>
                <c:pt idx="29">
                  <c:v>1.9627017833977033E-3</c:v>
                </c:pt>
                <c:pt idx="30">
                  <c:v>4.6852824826831168E-4</c:v>
                </c:pt>
                <c:pt idx="31">
                  <c:v>5.2385071737220273E-4</c:v>
                </c:pt>
                <c:pt idx="32">
                  <c:v>4.2744765189256441E-4</c:v>
                </c:pt>
                <c:pt idx="33">
                  <c:v>1.5866419394087721E-3</c:v>
                </c:pt>
                <c:pt idx="34">
                  <c:v>1.1938613582565451E-3</c:v>
                </c:pt>
              </c:numCache>
            </c:numRef>
          </c:yVal>
          <c:smooth val="0"/>
          <c:extLst>
            <c:ext xmlns:c16="http://schemas.microsoft.com/office/drawing/2014/chart" uri="{C3380CC4-5D6E-409C-BE32-E72D297353CC}">
              <c16:uniqueId val="{00000000-BC0B-4EE8-82CC-4087880FA496}"/>
            </c:ext>
          </c:extLst>
        </c:ser>
        <c:dLbls>
          <c:showLegendKey val="0"/>
          <c:showVal val="0"/>
          <c:showCatName val="0"/>
          <c:showSerName val="0"/>
          <c:showPercent val="0"/>
          <c:showBubbleSize val="0"/>
        </c:dLbls>
        <c:axId val="1367311391"/>
        <c:axId val="1369421375"/>
      </c:scatterChart>
      <c:valAx>
        <c:axId val="13673113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Beds Per 1000</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9421375"/>
        <c:crosses val="autoZero"/>
        <c:crossBetween val="midCat"/>
      </c:valAx>
      <c:valAx>
        <c:axId val="136942137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Dengue Case  Rate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731139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4">
            <a:lumMod val="40000"/>
            <a:lumOff val="60000"/>
          </a:schemeClr>
        </a:gs>
        <a:gs pos="100000">
          <a:schemeClr val="bg1">
            <a:lumMod val="95000"/>
          </a:schemeClr>
        </a:gs>
      </a:gsLst>
      <a:lin ang="4800000" scaled="0"/>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chart" Target="../charts/chart8.xml"/><Relationship Id="rId4"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6</xdr:col>
      <xdr:colOff>1181100</xdr:colOff>
      <xdr:row>56</xdr:row>
      <xdr:rowOff>45720</xdr:rowOff>
    </xdr:from>
    <xdr:to>
      <xdr:col>8</xdr:col>
      <xdr:colOff>137160</xdr:colOff>
      <xdr:row>70</xdr:row>
      <xdr:rowOff>66675</xdr:rowOff>
    </xdr:to>
    <mc:AlternateContent xmlns:mc="http://schemas.openxmlformats.org/markup-compatibility/2006" xmlns:a14="http://schemas.microsoft.com/office/drawing/2010/main">
      <mc:Choice Requires="a14">
        <xdr:graphicFrame macro="">
          <xdr:nvGraphicFramePr>
            <xdr:cNvPr id="6" name="States">
              <a:extLst>
                <a:ext uri="{FF2B5EF4-FFF2-40B4-BE49-F238E27FC236}">
                  <a16:creationId xmlns:a16="http://schemas.microsoft.com/office/drawing/2014/main" id="{1CACC40E-E826-AE57-3605-09E1AAE1CD5C}"/>
                </a:ext>
              </a:extLst>
            </xdr:cNvPr>
            <xdr:cNvGraphicFramePr/>
          </xdr:nvGraphicFramePr>
          <xdr:xfrm>
            <a:off x="0" y="0"/>
            <a:ext cx="0" cy="0"/>
          </xdr:xfrm>
          <a:graphic>
            <a:graphicData uri="http://schemas.microsoft.com/office/drawing/2010/slicer">
              <sle:slicer xmlns:sle="http://schemas.microsoft.com/office/drawing/2010/slicer" name="States"/>
            </a:graphicData>
          </a:graphic>
        </xdr:graphicFrame>
      </mc:Choice>
      <mc:Fallback xmlns="">
        <xdr:sp macro="" textlink="">
          <xdr:nvSpPr>
            <xdr:cNvPr id="0" name=""/>
            <xdr:cNvSpPr>
              <a:spLocks noTextEdit="1"/>
            </xdr:cNvSpPr>
          </xdr:nvSpPr>
          <xdr:spPr>
            <a:xfrm>
              <a:off x="11955780" y="103403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228600</xdr:colOff>
      <xdr:row>18</xdr:row>
      <xdr:rowOff>156210</xdr:rowOff>
    </xdr:from>
    <xdr:to>
      <xdr:col>9</xdr:col>
      <xdr:colOff>571500</xdr:colOff>
      <xdr:row>33</xdr:row>
      <xdr:rowOff>156210</xdr:rowOff>
    </xdr:to>
    <xdr:graphicFrame macro="">
      <xdr:nvGraphicFramePr>
        <xdr:cNvPr id="7" name="Chart 6">
          <a:extLst>
            <a:ext uri="{FF2B5EF4-FFF2-40B4-BE49-F238E27FC236}">
              <a16:creationId xmlns:a16="http://schemas.microsoft.com/office/drawing/2014/main" id="{A685F634-0AF4-AD66-74A3-35EC910DA1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533400</xdr:colOff>
      <xdr:row>86</xdr:row>
      <xdr:rowOff>102870</xdr:rowOff>
    </xdr:from>
    <xdr:to>
      <xdr:col>3</xdr:col>
      <xdr:colOff>1219200</xdr:colOff>
      <xdr:row>101</xdr:row>
      <xdr:rowOff>102870</xdr:rowOff>
    </xdr:to>
    <xdr:graphicFrame macro="">
      <xdr:nvGraphicFramePr>
        <xdr:cNvPr id="9" name="Chart 8">
          <a:extLst>
            <a:ext uri="{FF2B5EF4-FFF2-40B4-BE49-F238E27FC236}">
              <a16:creationId xmlns:a16="http://schemas.microsoft.com/office/drawing/2014/main" id="{30BD5E7B-6689-B7AF-E10A-B5A1D8D530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1607820</xdr:colOff>
      <xdr:row>61</xdr:row>
      <xdr:rowOff>102870</xdr:rowOff>
    </xdr:from>
    <xdr:to>
      <xdr:col>4</xdr:col>
      <xdr:colOff>419100</xdr:colOff>
      <xdr:row>76</xdr:row>
      <xdr:rowOff>102870</xdr:rowOff>
    </xdr:to>
    <xdr:graphicFrame macro="">
      <xdr:nvGraphicFramePr>
        <xdr:cNvPr id="10" name="Chart 9">
          <a:extLst>
            <a:ext uri="{FF2B5EF4-FFF2-40B4-BE49-F238E27FC236}">
              <a16:creationId xmlns:a16="http://schemas.microsoft.com/office/drawing/2014/main" id="{F046D75B-ECA1-322F-AC81-4617B64ED2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556260</xdr:colOff>
      <xdr:row>107</xdr:row>
      <xdr:rowOff>163830</xdr:rowOff>
    </xdr:from>
    <xdr:to>
      <xdr:col>5</xdr:col>
      <xdr:colOff>815340</xdr:colOff>
      <xdr:row>122</xdr:row>
      <xdr:rowOff>163830</xdr:rowOff>
    </xdr:to>
    <xdr:graphicFrame macro="">
      <xdr:nvGraphicFramePr>
        <xdr:cNvPr id="12" name="Chart 11">
          <a:extLst>
            <a:ext uri="{FF2B5EF4-FFF2-40B4-BE49-F238E27FC236}">
              <a16:creationId xmlns:a16="http://schemas.microsoft.com/office/drawing/2014/main" id="{036E50A0-B97B-BE30-F472-95C3D4D26E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601980</xdr:colOff>
      <xdr:row>1</xdr:row>
      <xdr:rowOff>171450</xdr:rowOff>
    </xdr:from>
    <xdr:to>
      <xdr:col>21</xdr:col>
      <xdr:colOff>53340</xdr:colOff>
      <xdr:row>27</xdr:row>
      <xdr:rowOff>53340</xdr:rowOff>
    </xdr:to>
    <xdr:sp macro="" textlink="">
      <xdr:nvSpPr>
        <xdr:cNvPr id="2" name="TextBox 1">
          <a:extLst>
            <a:ext uri="{FF2B5EF4-FFF2-40B4-BE49-F238E27FC236}">
              <a16:creationId xmlns:a16="http://schemas.microsoft.com/office/drawing/2014/main" id="{55BA428E-E169-EF7D-DB7F-6A26558C27C3}"/>
            </a:ext>
          </a:extLst>
        </xdr:cNvPr>
        <xdr:cNvSpPr txBox="1"/>
      </xdr:nvSpPr>
      <xdr:spPr>
        <a:xfrm>
          <a:off x="1211580" y="354330"/>
          <a:ext cx="11643360" cy="46367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t>KPIs (6 total):</a:t>
          </a:r>
          <a:endParaRPr lang="en-IN"/>
        </a:p>
        <a:p>
          <a:r>
            <a:rPr lang="en-IN"/>
            <a:t>Beds per 1000</a:t>
          </a:r>
        </a:p>
        <a:p>
          <a:r>
            <a:rPr lang="en-IN"/>
            <a:t>Doctors per 1000</a:t>
          </a:r>
        </a:p>
        <a:p>
          <a:r>
            <a:rPr lang="en-IN"/>
            <a:t>Population per hospital</a:t>
          </a:r>
        </a:p>
        <a:p>
          <a:r>
            <a:rPr lang="en-IN"/>
            <a:t>Dengue Case Rate</a:t>
          </a:r>
        </a:p>
        <a:p>
          <a:r>
            <a:rPr lang="en-IN"/>
            <a:t>Dengue Death Rate</a:t>
          </a:r>
        </a:p>
        <a:p>
          <a:r>
            <a:rPr lang="en-IN"/>
            <a:t>Doctor Shortage %</a:t>
          </a:r>
        </a:p>
        <a:p>
          <a:endParaRPr lang="en-IN"/>
        </a:p>
        <a:p>
          <a:endParaRPr lang="en-IN"/>
        </a:p>
        <a:p>
          <a:r>
            <a:rPr lang="en-IN" b="1"/>
            <a:t>Charts (4 total):</a:t>
          </a:r>
          <a:endParaRPr lang="en-IN"/>
        </a:p>
        <a:p>
          <a:r>
            <a:rPr lang="en-IN"/>
            <a:t>HealthCare</a:t>
          </a:r>
          <a:r>
            <a:rPr lang="en-IN" baseline="0"/>
            <a:t> Infrasturcute for selected State</a:t>
          </a:r>
          <a:endParaRPr lang="en-IN"/>
        </a:p>
        <a:p>
          <a:r>
            <a:rPr lang="en-IN"/>
            <a:t>Doctors vs Dengue Cases per state</a:t>
          </a:r>
        </a:p>
        <a:p>
          <a:r>
            <a:rPr lang="en-IN"/>
            <a:t>Sanctioned vs In-Position Doctors</a:t>
          </a:r>
        </a:p>
        <a:p>
          <a:r>
            <a:rPr lang="en-IN"/>
            <a:t>Beds per 1000 vs Dengue Case Rate</a:t>
          </a:r>
        </a:p>
        <a:p>
          <a:r>
            <a:rPr lang="en-IN" b="1"/>
            <a:t>Heatmap table:</a:t>
          </a:r>
        </a:p>
        <a:p>
          <a:r>
            <a:rPr lang="en-IN"/>
            <a:t>State | Beds/1000 | Doctors/1000 | Dengue Rate</a:t>
          </a:r>
          <a:br>
            <a:rPr lang="en-IN"/>
          </a:br>
          <a:r>
            <a:rPr lang="en-IN"/>
            <a:t>➡ Conditional formatting (red = bad, green = good)</a:t>
          </a:r>
        </a:p>
        <a:p>
          <a:endParaRPr lang="en-IN"/>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15240</xdr:colOff>
      <xdr:row>1</xdr:row>
      <xdr:rowOff>38100</xdr:rowOff>
    </xdr:from>
    <xdr:to>
      <xdr:col>23</xdr:col>
      <xdr:colOff>571500</xdr:colOff>
      <xdr:row>45</xdr:row>
      <xdr:rowOff>53340</xdr:rowOff>
    </xdr:to>
    <xdr:sp macro="" textlink="">
      <xdr:nvSpPr>
        <xdr:cNvPr id="2" name="Rectangle 1">
          <a:extLst>
            <a:ext uri="{FF2B5EF4-FFF2-40B4-BE49-F238E27FC236}">
              <a16:creationId xmlns:a16="http://schemas.microsoft.com/office/drawing/2014/main" id="{2639516A-520A-4904-2709-887ECFDB8C3B}"/>
            </a:ext>
          </a:extLst>
        </xdr:cNvPr>
        <xdr:cNvSpPr/>
      </xdr:nvSpPr>
      <xdr:spPr>
        <a:xfrm>
          <a:off x="434340" y="220980"/>
          <a:ext cx="13327380" cy="8061960"/>
        </a:xfrm>
        <a:prstGeom prst="rect">
          <a:avLst/>
        </a:prstGeom>
        <a:gradFill>
          <a:gsLst>
            <a:gs pos="50000">
              <a:schemeClr val="tx2">
                <a:alpha val="86000"/>
                <a:lumMod val="88000"/>
                <a:lumOff val="12000"/>
              </a:schemeClr>
            </a:gs>
            <a:gs pos="0">
              <a:schemeClr val="accent1">
                <a:lumMod val="75000"/>
              </a:schemeClr>
            </a:gs>
            <a:gs pos="100000">
              <a:schemeClr val="bg2">
                <a:lumMod val="50000"/>
              </a:schemeClr>
            </a:gs>
          </a:gsLst>
          <a:lin ang="4800000" scaled="0"/>
        </a:gradFill>
        <a:ln w="31750">
          <a:solidFill>
            <a:schemeClr val="tx1">
              <a:lumMod val="95000"/>
              <a:lumOff val="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y7h</a:t>
          </a:r>
        </a:p>
      </xdr:txBody>
    </xdr:sp>
    <xdr:clientData/>
  </xdr:twoCellAnchor>
  <xdr:twoCellAnchor>
    <xdr:from>
      <xdr:col>1</xdr:col>
      <xdr:colOff>106680</xdr:colOff>
      <xdr:row>1</xdr:row>
      <xdr:rowOff>53340</xdr:rowOff>
    </xdr:from>
    <xdr:to>
      <xdr:col>23</xdr:col>
      <xdr:colOff>510540</xdr:colOff>
      <xdr:row>3</xdr:row>
      <xdr:rowOff>83820</xdr:rowOff>
    </xdr:to>
    <xdr:sp macro="" textlink="">
      <xdr:nvSpPr>
        <xdr:cNvPr id="3" name="Rectangle: Rounded Corners 2">
          <a:extLst>
            <a:ext uri="{FF2B5EF4-FFF2-40B4-BE49-F238E27FC236}">
              <a16:creationId xmlns:a16="http://schemas.microsoft.com/office/drawing/2014/main" id="{83A35025-6DCC-4366-8F6E-937E918E0B43}"/>
            </a:ext>
          </a:extLst>
        </xdr:cNvPr>
        <xdr:cNvSpPr/>
      </xdr:nvSpPr>
      <xdr:spPr>
        <a:xfrm>
          <a:off x="525780" y="236220"/>
          <a:ext cx="13174980" cy="396240"/>
        </a:xfrm>
        <a:prstGeom prst="roundRect">
          <a:avLst>
            <a:gd name="adj" fmla="val 20514"/>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400" b="1">
              <a:solidFill>
                <a:schemeClr val="tx1"/>
              </a:solidFill>
              <a:latin typeface="Aptos SemiBold" panose="020B0004020202020204" pitchFamily="34" charset="0"/>
            </a:rPr>
            <a:t>India Healthcare &amp; Dengue Infrastructure Dashboard - State Wise</a:t>
          </a:r>
          <a:endParaRPr lang="en-IN" sz="2400">
            <a:solidFill>
              <a:schemeClr val="tx1"/>
            </a:solidFill>
            <a:latin typeface="Aptos SemiBold" panose="020B0004020202020204" pitchFamily="34" charset="0"/>
          </a:endParaRPr>
        </a:p>
        <a:p>
          <a:pPr algn="l"/>
          <a:endParaRPr lang="en-IN" sz="2400">
            <a:solidFill>
              <a:schemeClr val="tx1"/>
            </a:solidFill>
            <a:latin typeface="Aptos SemiBold" panose="020B0004020202020204" pitchFamily="34" charset="0"/>
          </a:endParaRPr>
        </a:p>
      </xdr:txBody>
    </xdr:sp>
    <xdr:clientData/>
  </xdr:twoCellAnchor>
  <xdr:twoCellAnchor>
    <xdr:from>
      <xdr:col>1</xdr:col>
      <xdr:colOff>106680</xdr:colOff>
      <xdr:row>3</xdr:row>
      <xdr:rowOff>163830</xdr:rowOff>
    </xdr:from>
    <xdr:to>
      <xdr:col>5</xdr:col>
      <xdr:colOff>163560</xdr:colOff>
      <xdr:row>7</xdr:row>
      <xdr:rowOff>80310</xdr:rowOff>
    </xdr:to>
    <xdr:sp macro="" textlink="Analysis!B8">
      <xdr:nvSpPr>
        <xdr:cNvPr id="4" name="Rectangle: Rounded Corners 3">
          <a:extLst>
            <a:ext uri="{FF2B5EF4-FFF2-40B4-BE49-F238E27FC236}">
              <a16:creationId xmlns:a16="http://schemas.microsoft.com/office/drawing/2014/main" id="{73828CD8-8F4B-1F55-C258-7D28000CFD1E}"/>
            </a:ext>
          </a:extLst>
        </xdr:cNvPr>
        <xdr:cNvSpPr/>
      </xdr:nvSpPr>
      <xdr:spPr>
        <a:xfrm>
          <a:off x="525780" y="712470"/>
          <a:ext cx="2160000" cy="648000"/>
        </a:xfrm>
        <a:prstGeom prst="roundRect">
          <a:avLst/>
        </a:prstGeom>
        <a:gradFill flip="none" rotWithShape="1">
          <a:gsLst>
            <a:gs pos="0">
              <a:schemeClr val="bg1">
                <a:lumMod val="95000"/>
              </a:schemeClr>
            </a:gs>
            <a:gs pos="100000">
              <a:schemeClr val="accent4">
                <a:lumMod val="30000"/>
                <a:lumOff val="70000"/>
              </a:schemeClr>
            </a:gs>
          </a:gsLst>
          <a:lin ang="54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i="0" u="none" strike="noStrike">
            <a:solidFill>
              <a:srgbClr val="000000"/>
            </a:solidFill>
            <a:latin typeface="Aptos Narrow"/>
          </a:endParaRPr>
        </a:p>
        <a:p>
          <a:pPr algn="l"/>
          <a:endParaRPr lang="en-US" sz="1100" b="0" i="0" u="none" strike="noStrike">
            <a:solidFill>
              <a:srgbClr val="000000"/>
            </a:solidFill>
            <a:latin typeface="Aptos Narrow"/>
          </a:endParaRPr>
        </a:p>
        <a:p>
          <a:pPr algn="l"/>
          <a:r>
            <a:rPr lang="en-US" sz="1100" b="0" i="0" u="none" strike="noStrike">
              <a:solidFill>
                <a:srgbClr val="000000"/>
              </a:solidFill>
              <a:latin typeface="Aptos Narrow"/>
            </a:rPr>
            <a:t>	</a:t>
          </a:r>
          <a:fld id="{7FA1B3B0-6B70-4FE7-8360-A99B9FE3D82C}" type="TxLink">
            <a:rPr lang="en-US" sz="1100" b="0" i="0" u="none" strike="noStrike">
              <a:solidFill>
                <a:srgbClr val="000000"/>
              </a:solidFill>
              <a:latin typeface="Aptos Narrow"/>
            </a:rPr>
            <a:pPr algn="l"/>
            <a:t>0.0084</a:t>
          </a:fld>
          <a:endParaRPr lang="en-IN" sz="1100"/>
        </a:p>
      </xdr:txBody>
    </xdr:sp>
    <xdr:clientData/>
  </xdr:twoCellAnchor>
  <xdr:twoCellAnchor>
    <xdr:from>
      <xdr:col>5</xdr:col>
      <xdr:colOff>204216</xdr:colOff>
      <xdr:row>3</xdr:row>
      <xdr:rowOff>163830</xdr:rowOff>
    </xdr:from>
    <xdr:to>
      <xdr:col>8</xdr:col>
      <xdr:colOff>535416</xdr:colOff>
      <xdr:row>7</xdr:row>
      <xdr:rowOff>80310</xdr:rowOff>
    </xdr:to>
    <xdr:sp macro="" textlink="">
      <xdr:nvSpPr>
        <xdr:cNvPr id="5" name="Rectangle: Rounded Corners 4">
          <a:extLst>
            <a:ext uri="{FF2B5EF4-FFF2-40B4-BE49-F238E27FC236}">
              <a16:creationId xmlns:a16="http://schemas.microsoft.com/office/drawing/2014/main" id="{1966CD37-39B0-40BA-BA98-53C67F9FE0C5}"/>
            </a:ext>
          </a:extLst>
        </xdr:cNvPr>
        <xdr:cNvSpPr/>
      </xdr:nvSpPr>
      <xdr:spPr>
        <a:xfrm>
          <a:off x="2726436" y="712470"/>
          <a:ext cx="2160000" cy="648000"/>
        </a:xfrm>
        <a:prstGeom prst="roundRect">
          <a:avLst/>
        </a:prstGeom>
        <a:gradFill flip="none" rotWithShape="1">
          <a:gsLst>
            <a:gs pos="0">
              <a:schemeClr val="bg1">
                <a:lumMod val="95000"/>
              </a:schemeClr>
            </a:gs>
            <a:gs pos="100000">
              <a:schemeClr val="accent4">
                <a:lumMod val="30000"/>
                <a:lumOff val="70000"/>
              </a:schemeClr>
            </a:gs>
          </a:gsLst>
          <a:lin ang="54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576072</xdr:colOff>
      <xdr:row>3</xdr:row>
      <xdr:rowOff>163830</xdr:rowOff>
    </xdr:from>
    <xdr:to>
      <xdr:col>12</xdr:col>
      <xdr:colOff>297672</xdr:colOff>
      <xdr:row>7</xdr:row>
      <xdr:rowOff>80310</xdr:rowOff>
    </xdr:to>
    <xdr:sp macro="" textlink="">
      <xdr:nvSpPr>
        <xdr:cNvPr id="6" name="Rectangle: Rounded Corners 5">
          <a:extLst>
            <a:ext uri="{FF2B5EF4-FFF2-40B4-BE49-F238E27FC236}">
              <a16:creationId xmlns:a16="http://schemas.microsoft.com/office/drawing/2014/main" id="{E8303468-F658-4C4C-9DE6-E27BDCD5E04E}"/>
            </a:ext>
          </a:extLst>
        </xdr:cNvPr>
        <xdr:cNvSpPr/>
      </xdr:nvSpPr>
      <xdr:spPr>
        <a:xfrm>
          <a:off x="4927092" y="712470"/>
          <a:ext cx="2160000" cy="648000"/>
        </a:xfrm>
        <a:prstGeom prst="roundRect">
          <a:avLst/>
        </a:prstGeom>
        <a:gradFill flip="none" rotWithShape="1">
          <a:gsLst>
            <a:gs pos="0">
              <a:schemeClr val="bg1">
                <a:lumMod val="95000"/>
              </a:schemeClr>
            </a:gs>
            <a:gs pos="100000">
              <a:schemeClr val="accent4">
                <a:lumMod val="30000"/>
                <a:lumOff val="70000"/>
              </a:schemeClr>
            </a:gs>
          </a:gsLst>
          <a:lin ang="54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338328</xdr:colOff>
      <xdr:row>3</xdr:row>
      <xdr:rowOff>163830</xdr:rowOff>
    </xdr:from>
    <xdr:to>
      <xdr:col>16</xdr:col>
      <xdr:colOff>59928</xdr:colOff>
      <xdr:row>7</xdr:row>
      <xdr:rowOff>80310</xdr:rowOff>
    </xdr:to>
    <xdr:sp macro="" textlink="">
      <xdr:nvSpPr>
        <xdr:cNvPr id="7" name="Rectangle: Rounded Corners 6">
          <a:extLst>
            <a:ext uri="{FF2B5EF4-FFF2-40B4-BE49-F238E27FC236}">
              <a16:creationId xmlns:a16="http://schemas.microsoft.com/office/drawing/2014/main" id="{9716CB17-52B0-49F8-BC16-3C8E2CD778CC}"/>
            </a:ext>
          </a:extLst>
        </xdr:cNvPr>
        <xdr:cNvSpPr/>
      </xdr:nvSpPr>
      <xdr:spPr>
        <a:xfrm>
          <a:off x="7127748" y="712470"/>
          <a:ext cx="2160000" cy="648000"/>
        </a:xfrm>
        <a:prstGeom prst="roundRect">
          <a:avLst/>
        </a:prstGeom>
        <a:gradFill flip="none" rotWithShape="1">
          <a:gsLst>
            <a:gs pos="0">
              <a:schemeClr val="bg1">
                <a:lumMod val="95000"/>
              </a:schemeClr>
            </a:gs>
            <a:gs pos="100000">
              <a:schemeClr val="accent4">
                <a:lumMod val="30000"/>
                <a:lumOff val="70000"/>
              </a:schemeClr>
            </a:gs>
          </a:gsLst>
          <a:lin ang="54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a:t>
          </a:r>
        </a:p>
      </xdr:txBody>
    </xdr:sp>
    <xdr:clientData/>
  </xdr:twoCellAnchor>
  <xdr:twoCellAnchor>
    <xdr:from>
      <xdr:col>16</xdr:col>
      <xdr:colOff>100584</xdr:colOff>
      <xdr:row>3</xdr:row>
      <xdr:rowOff>163830</xdr:rowOff>
    </xdr:from>
    <xdr:to>
      <xdr:col>19</xdr:col>
      <xdr:colOff>431784</xdr:colOff>
      <xdr:row>7</xdr:row>
      <xdr:rowOff>80310</xdr:rowOff>
    </xdr:to>
    <xdr:sp macro="" textlink="">
      <xdr:nvSpPr>
        <xdr:cNvPr id="8" name="Rectangle: Rounded Corners 7">
          <a:extLst>
            <a:ext uri="{FF2B5EF4-FFF2-40B4-BE49-F238E27FC236}">
              <a16:creationId xmlns:a16="http://schemas.microsoft.com/office/drawing/2014/main" id="{41C55211-556C-4A4A-BE24-8DA7DEE99E18}"/>
            </a:ext>
          </a:extLst>
        </xdr:cNvPr>
        <xdr:cNvSpPr/>
      </xdr:nvSpPr>
      <xdr:spPr>
        <a:xfrm>
          <a:off x="9328404" y="712470"/>
          <a:ext cx="2160000" cy="648000"/>
        </a:xfrm>
        <a:prstGeom prst="roundRect">
          <a:avLst/>
        </a:prstGeom>
        <a:gradFill flip="none" rotWithShape="1">
          <a:gsLst>
            <a:gs pos="0">
              <a:schemeClr val="bg1">
                <a:lumMod val="95000"/>
              </a:schemeClr>
            </a:gs>
            <a:gs pos="100000">
              <a:schemeClr val="accent4">
                <a:lumMod val="30000"/>
                <a:lumOff val="70000"/>
              </a:schemeClr>
            </a:gs>
          </a:gsLst>
          <a:lin ang="54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472440</xdr:colOff>
      <xdr:row>3</xdr:row>
      <xdr:rowOff>163830</xdr:rowOff>
    </xdr:from>
    <xdr:to>
      <xdr:col>23</xdr:col>
      <xdr:colOff>498840</xdr:colOff>
      <xdr:row>7</xdr:row>
      <xdr:rowOff>80310</xdr:rowOff>
    </xdr:to>
    <xdr:sp macro="" textlink="">
      <xdr:nvSpPr>
        <xdr:cNvPr id="9" name="Rectangle: Rounded Corners 8">
          <a:extLst>
            <a:ext uri="{FF2B5EF4-FFF2-40B4-BE49-F238E27FC236}">
              <a16:creationId xmlns:a16="http://schemas.microsoft.com/office/drawing/2014/main" id="{91F46D0E-DD66-4016-BDEC-6943C61FA079}"/>
            </a:ext>
          </a:extLst>
        </xdr:cNvPr>
        <xdr:cNvSpPr/>
      </xdr:nvSpPr>
      <xdr:spPr>
        <a:xfrm>
          <a:off x="11529060" y="712470"/>
          <a:ext cx="2160000" cy="648000"/>
        </a:xfrm>
        <a:prstGeom prst="roundRect">
          <a:avLst/>
        </a:prstGeom>
        <a:gradFill flip="none" rotWithShape="1">
          <a:gsLst>
            <a:gs pos="0">
              <a:schemeClr val="bg1">
                <a:lumMod val="95000"/>
              </a:schemeClr>
            </a:gs>
            <a:gs pos="100000">
              <a:schemeClr val="accent4">
                <a:lumMod val="30000"/>
                <a:lumOff val="70000"/>
              </a:schemeClr>
            </a:gs>
          </a:gsLst>
          <a:lin ang="54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167640</xdr:colOff>
      <xdr:row>4</xdr:row>
      <xdr:rowOff>38100</xdr:rowOff>
    </xdr:from>
    <xdr:to>
      <xdr:col>5</xdr:col>
      <xdr:colOff>106680</xdr:colOff>
      <xdr:row>5</xdr:row>
      <xdr:rowOff>106680</xdr:rowOff>
    </xdr:to>
    <xdr:sp macro="" textlink="">
      <xdr:nvSpPr>
        <xdr:cNvPr id="10" name="TextBox 9">
          <a:extLst>
            <a:ext uri="{FF2B5EF4-FFF2-40B4-BE49-F238E27FC236}">
              <a16:creationId xmlns:a16="http://schemas.microsoft.com/office/drawing/2014/main" id="{97EFC66C-C237-A3B9-A336-3148C2538F78}"/>
            </a:ext>
          </a:extLst>
        </xdr:cNvPr>
        <xdr:cNvSpPr txBox="1"/>
      </xdr:nvSpPr>
      <xdr:spPr>
        <a:xfrm>
          <a:off x="586740" y="769620"/>
          <a:ext cx="204216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500">
              <a:latin typeface="Aptos SemiBold" panose="020B0004020202020204" pitchFamily="34" charset="0"/>
            </a:rPr>
            <a:t>Beds Per 1000</a:t>
          </a:r>
        </a:p>
      </xdr:txBody>
    </xdr:sp>
    <xdr:clientData/>
  </xdr:twoCellAnchor>
  <xdr:twoCellAnchor>
    <xdr:from>
      <xdr:col>1</xdr:col>
      <xdr:colOff>243840</xdr:colOff>
      <xdr:row>5</xdr:row>
      <xdr:rowOff>160020</xdr:rowOff>
    </xdr:from>
    <xdr:to>
      <xdr:col>5</xdr:col>
      <xdr:colOff>45720</xdr:colOff>
      <xdr:row>7</xdr:row>
      <xdr:rowOff>22860</xdr:rowOff>
    </xdr:to>
    <xdr:sp macro="" textlink="Analysis!B8">
      <xdr:nvSpPr>
        <xdr:cNvPr id="12" name="TextBox 11">
          <a:extLst>
            <a:ext uri="{FF2B5EF4-FFF2-40B4-BE49-F238E27FC236}">
              <a16:creationId xmlns:a16="http://schemas.microsoft.com/office/drawing/2014/main" id="{0145E357-2E4C-47E2-BAEC-69EA6C07112C}"/>
            </a:ext>
          </a:extLst>
        </xdr:cNvPr>
        <xdr:cNvSpPr txBox="1"/>
      </xdr:nvSpPr>
      <xdr:spPr>
        <a:xfrm>
          <a:off x="662940" y="1074420"/>
          <a:ext cx="19050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390A9F8-BA3D-4196-9A5F-B57582BB024D}" type="TxLink">
            <a:rPr lang="en-US" sz="2800" b="1" i="0" u="none" strike="noStrike">
              <a:solidFill>
                <a:srgbClr val="000000"/>
              </a:solidFill>
              <a:latin typeface="Aptos Narrow"/>
            </a:rPr>
            <a:pPr algn="ctr"/>
            <a:t>0.0084</a:t>
          </a:fld>
          <a:endParaRPr lang="en-IN" sz="2800" b="1"/>
        </a:p>
      </xdr:txBody>
    </xdr:sp>
    <xdr:clientData/>
  </xdr:twoCellAnchor>
  <xdr:twoCellAnchor>
    <xdr:from>
      <xdr:col>5</xdr:col>
      <xdr:colOff>175260</xdr:colOff>
      <xdr:row>4</xdr:row>
      <xdr:rowOff>15240</xdr:rowOff>
    </xdr:from>
    <xdr:to>
      <xdr:col>8</xdr:col>
      <xdr:colOff>449580</xdr:colOff>
      <xdr:row>5</xdr:row>
      <xdr:rowOff>83820</xdr:rowOff>
    </xdr:to>
    <xdr:sp macro="" textlink="">
      <xdr:nvSpPr>
        <xdr:cNvPr id="13" name="TextBox 12">
          <a:extLst>
            <a:ext uri="{FF2B5EF4-FFF2-40B4-BE49-F238E27FC236}">
              <a16:creationId xmlns:a16="http://schemas.microsoft.com/office/drawing/2014/main" id="{14C6C852-0CE4-45DE-830A-987ECCA6220D}"/>
            </a:ext>
          </a:extLst>
        </xdr:cNvPr>
        <xdr:cNvSpPr txBox="1"/>
      </xdr:nvSpPr>
      <xdr:spPr>
        <a:xfrm>
          <a:off x="2697480" y="746760"/>
          <a:ext cx="210312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500">
              <a:solidFill>
                <a:schemeClr val="dk1"/>
              </a:solidFill>
              <a:latin typeface="Aptos SemiBold" panose="020B0004020202020204" pitchFamily="34" charset="0"/>
              <a:ea typeface="+mn-ea"/>
              <a:cs typeface="+mn-cs"/>
            </a:rPr>
            <a:t>Doctors per 1000</a:t>
          </a:r>
        </a:p>
      </xdr:txBody>
    </xdr:sp>
    <xdr:clientData/>
  </xdr:twoCellAnchor>
  <xdr:twoCellAnchor>
    <xdr:from>
      <xdr:col>9</xdr:col>
      <xdr:colOff>15240</xdr:colOff>
      <xdr:row>4</xdr:row>
      <xdr:rowOff>30480</xdr:rowOff>
    </xdr:from>
    <xdr:to>
      <xdr:col>12</xdr:col>
      <xdr:colOff>251460</xdr:colOff>
      <xdr:row>5</xdr:row>
      <xdr:rowOff>99060</xdr:rowOff>
    </xdr:to>
    <xdr:sp macro="" textlink="">
      <xdr:nvSpPr>
        <xdr:cNvPr id="14" name="TextBox 13">
          <a:extLst>
            <a:ext uri="{FF2B5EF4-FFF2-40B4-BE49-F238E27FC236}">
              <a16:creationId xmlns:a16="http://schemas.microsoft.com/office/drawing/2014/main" id="{AC399482-F6E6-4857-B50C-CF02263CDF77}"/>
            </a:ext>
          </a:extLst>
        </xdr:cNvPr>
        <xdr:cNvSpPr txBox="1"/>
      </xdr:nvSpPr>
      <xdr:spPr>
        <a:xfrm>
          <a:off x="4975860" y="762000"/>
          <a:ext cx="206502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500" b="1">
              <a:latin typeface="Aptos SemiBold" panose="020B0004020202020204" pitchFamily="34" charset="0"/>
            </a:rPr>
            <a:t>Total</a:t>
          </a:r>
          <a:r>
            <a:rPr lang="en-IN" sz="1500" b="1" baseline="0">
              <a:latin typeface="Aptos SemiBold" panose="020B0004020202020204" pitchFamily="34" charset="0"/>
            </a:rPr>
            <a:t> Dengue Cases </a:t>
          </a:r>
          <a:endParaRPr lang="en-IN" sz="1500" b="1">
            <a:latin typeface="Aptos SemiBold" panose="020B0004020202020204" pitchFamily="34" charset="0"/>
          </a:endParaRPr>
        </a:p>
      </xdr:txBody>
    </xdr:sp>
    <xdr:clientData/>
  </xdr:twoCellAnchor>
  <xdr:twoCellAnchor>
    <xdr:from>
      <xdr:col>12</xdr:col>
      <xdr:colOff>342900</xdr:colOff>
      <xdr:row>4</xdr:row>
      <xdr:rowOff>22860</xdr:rowOff>
    </xdr:from>
    <xdr:to>
      <xdr:col>16</xdr:col>
      <xdr:colOff>373380</xdr:colOff>
      <xdr:row>5</xdr:row>
      <xdr:rowOff>91440</xdr:rowOff>
    </xdr:to>
    <xdr:sp macro="" textlink="">
      <xdr:nvSpPr>
        <xdr:cNvPr id="15" name="TextBox 14">
          <a:extLst>
            <a:ext uri="{FF2B5EF4-FFF2-40B4-BE49-F238E27FC236}">
              <a16:creationId xmlns:a16="http://schemas.microsoft.com/office/drawing/2014/main" id="{B0BB3447-CB64-4326-932D-8F5E8D5A4CC3}"/>
            </a:ext>
          </a:extLst>
        </xdr:cNvPr>
        <xdr:cNvSpPr txBox="1"/>
      </xdr:nvSpPr>
      <xdr:spPr>
        <a:xfrm>
          <a:off x="7132320" y="754380"/>
          <a:ext cx="246888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IN" sz="1400" b="1">
              <a:solidFill>
                <a:schemeClr val="dk1"/>
              </a:solidFill>
              <a:latin typeface="Aptos SemiBold" panose="020B0004020202020204" pitchFamily="34" charset="0"/>
              <a:ea typeface="+mn-ea"/>
              <a:cs typeface="+mn-cs"/>
            </a:rPr>
            <a:t>Overall Doctors Shortage </a:t>
          </a:r>
        </a:p>
      </xdr:txBody>
    </xdr:sp>
    <xdr:clientData/>
  </xdr:twoCellAnchor>
  <xdr:twoCellAnchor>
    <xdr:from>
      <xdr:col>16</xdr:col>
      <xdr:colOff>137160</xdr:colOff>
      <xdr:row>4</xdr:row>
      <xdr:rowOff>38100</xdr:rowOff>
    </xdr:from>
    <xdr:to>
      <xdr:col>19</xdr:col>
      <xdr:colOff>381000</xdr:colOff>
      <xdr:row>5</xdr:row>
      <xdr:rowOff>106680</xdr:rowOff>
    </xdr:to>
    <xdr:sp macro="" textlink="">
      <xdr:nvSpPr>
        <xdr:cNvPr id="16" name="TextBox 15">
          <a:extLst>
            <a:ext uri="{FF2B5EF4-FFF2-40B4-BE49-F238E27FC236}">
              <a16:creationId xmlns:a16="http://schemas.microsoft.com/office/drawing/2014/main" id="{5B7EB68D-41B8-46C2-9F7C-125117AD2566}"/>
            </a:ext>
          </a:extLst>
        </xdr:cNvPr>
        <xdr:cNvSpPr txBox="1"/>
      </xdr:nvSpPr>
      <xdr:spPr>
        <a:xfrm>
          <a:off x="9364980" y="769620"/>
          <a:ext cx="207264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500" b="1"/>
            <a:t>Population</a:t>
          </a:r>
          <a:r>
            <a:rPr lang="en-IN" sz="1500" b="1" baseline="0"/>
            <a:t> per Hospital </a:t>
          </a:r>
          <a:endParaRPr lang="en-IN" sz="1500" b="1"/>
        </a:p>
      </xdr:txBody>
    </xdr:sp>
    <xdr:clientData/>
  </xdr:twoCellAnchor>
  <xdr:twoCellAnchor>
    <xdr:from>
      <xdr:col>19</xdr:col>
      <xdr:colOff>518160</xdr:colOff>
      <xdr:row>4</xdr:row>
      <xdr:rowOff>22860</xdr:rowOff>
    </xdr:from>
    <xdr:to>
      <xdr:col>23</xdr:col>
      <xdr:colOff>426720</xdr:colOff>
      <xdr:row>5</xdr:row>
      <xdr:rowOff>91440</xdr:rowOff>
    </xdr:to>
    <xdr:sp macro="" textlink="">
      <xdr:nvSpPr>
        <xdr:cNvPr id="17" name="TextBox 16">
          <a:extLst>
            <a:ext uri="{FF2B5EF4-FFF2-40B4-BE49-F238E27FC236}">
              <a16:creationId xmlns:a16="http://schemas.microsoft.com/office/drawing/2014/main" id="{F487A945-67D7-4A55-AEF7-B562B13A8C7F}"/>
            </a:ext>
          </a:extLst>
        </xdr:cNvPr>
        <xdr:cNvSpPr txBox="1"/>
      </xdr:nvSpPr>
      <xdr:spPr>
        <a:xfrm>
          <a:off x="11574780" y="754380"/>
          <a:ext cx="204216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500" b="1"/>
            <a:t>Deaths Due to Dengue </a:t>
          </a:r>
        </a:p>
      </xdr:txBody>
    </xdr:sp>
    <xdr:clientData/>
  </xdr:twoCellAnchor>
  <xdr:twoCellAnchor>
    <xdr:from>
      <xdr:col>5</xdr:col>
      <xdr:colOff>251460</xdr:colOff>
      <xdr:row>5</xdr:row>
      <xdr:rowOff>167640</xdr:rowOff>
    </xdr:from>
    <xdr:to>
      <xdr:col>8</xdr:col>
      <xdr:colOff>464820</xdr:colOff>
      <xdr:row>7</xdr:row>
      <xdr:rowOff>53340</xdr:rowOff>
    </xdr:to>
    <xdr:sp macro="" textlink="Analysis!C8">
      <xdr:nvSpPr>
        <xdr:cNvPr id="18" name="TextBox 17">
          <a:extLst>
            <a:ext uri="{FF2B5EF4-FFF2-40B4-BE49-F238E27FC236}">
              <a16:creationId xmlns:a16="http://schemas.microsoft.com/office/drawing/2014/main" id="{90FBD281-DDAF-477C-9037-FB2CDCF2B47C}"/>
            </a:ext>
          </a:extLst>
        </xdr:cNvPr>
        <xdr:cNvSpPr txBox="1"/>
      </xdr:nvSpPr>
      <xdr:spPr>
        <a:xfrm>
          <a:off x="2773680" y="1082040"/>
          <a:ext cx="204216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AB4BBDA-FBDE-4707-904D-E6E50BC81D0F}" type="TxLink">
            <a:rPr lang="en-US" sz="2800" b="1" i="0" u="none" strike="noStrike">
              <a:solidFill>
                <a:srgbClr val="000000"/>
              </a:solidFill>
              <a:latin typeface="Aptos Narrow"/>
              <a:ea typeface="+mn-ea"/>
              <a:cs typeface="+mn-cs"/>
            </a:rPr>
            <a:pPr marL="0" indent="0" algn="ctr"/>
            <a:t>0.0159</a:t>
          </a:fld>
          <a:endParaRPr lang="en-IN" sz="2800" b="1" i="0" u="none" strike="noStrike">
            <a:solidFill>
              <a:srgbClr val="000000"/>
            </a:solidFill>
            <a:latin typeface="Aptos Narrow"/>
            <a:ea typeface="+mn-ea"/>
            <a:cs typeface="+mn-cs"/>
          </a:endParaRPr>
        </a:p>
      </xdr:txBody>
    </xdr:sp>
    <xdr:clientData/>
  </xdr:twoCellAnchor>
  <xdr:twoCellAnchor>
    <xdr:from>
      <xdr:col>9</xdr:col>
      <xdr:colOff>22860</xdr:colOff>
      <xdr:row>5</xdr:row>
      <xdr:rowOff>160020</xdr:rowOff>
    </xdr:from>
    <xdr:to>
      <xdr:col>12</xdr:col>
      <xdr:colOff>236220</xdr:colOff>
      <xdr:row>7</xdr:row>
      <xdr:rowOff>45720</xdr:rowOff>
    </xdr:to>
    <xdr:sp macro="" textlink="Analysis!D8">
      <xdr:nvSpPr>
        <xdr:cNvPr id="19" name="TextBox 18">
          <a:extLst>
            <a:ext uri="{FF2B5EF4-FFF2-40B4-BE49-F238E27FC236}">
              <a16:creationId xmlns:a16="http://schemas.microsoft.com/office/drawing/2014/main" id="{E38ACEEF-0A85-43CF-B69C-06C51B23F21F}"/>
            </a:ext>
          </a:extLst>
        </xdr:cNvPr>
        <xdr:cNvSpPr txBox="1"/>
      </xdr:nvSpPr>
      <xdr:spPr>
        <a:xfrm>
          <a:off x="4983480" y="1074420"/>
          <a:ext cx="204216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E30A129-A449-40C3-ADC5-21EC4B3F892C}" type="TxLink">
            <a:rPr lang="en-US" sz="2800" b="1" i="0" u="none" strike="noStrike">
              <a:solidFill>
                <a:srgbClr val="000000"/>
              </a:solidFill>
              <a:latin typeface="Aptos Narrow"/>
              <a:ea typeface="+mn-ea"/>
              <a:cs typeface="+mn-cs"/>
            </a:rPr>
            <a:pPr marL="0" indent="0" algn="ctr"/>
            <a:t>42.K</a:t>
          </a:fld>
          <a:endParaRPr lang="en-IN" sz="2800" b="1" i="0" u="none" strike="noStrike">
            <a:solidFill>
              <a:srgbClr val="000000"/>
            </a:solidFill>
            <a:latin typeface="Aptos Narrow"/>
            <a:ea typeface="+mn-ea"/>
            <a:cs typeface="+mn-cs"/>
          </a:endParaRPr>
        </a:p>
      </xdr:txBody>
    </xdr:sp>
    <xdr:clientData/>
  </xdr:twoCellAnchor>
  <xdr:twoCellAnchor>
    <xdr:from>
      <xdr:col>12</xdr:col>
      <xdr:colOff>396240</xdr:colOff>
      <xdr:row>5</xdr:row>
      <xdr:rowOff>160020</xdr:rowOff>
    </xdr:from>
    <xdr:to>
      <xdr:col>16</xdr:col>
      <xdr:colOff>0</xdr:colOff>
      <xdr:row>7</xdr:row>
      <xdr:rowOff>45720</xdr:rowOff>
    </xdr:to>
    <xdr:sp macro="" textlink="Analysis!E8">
      <xdr:nvSpPr>
        <xdr:cNvPr id="20" name="TextBox 19">
          <a:extLst>
            <a:ext uri="{FF2B5EF4-FFF2-40B4-BE49-F238E27FC236}">
              <a16:creationId xmlns:a16="http://schemas.microsoft.com/office/drawing/2014/main" id="{48454292-F86F-4BC9-9BE0-2E0EC35B7175}"/>
            </a:ext>
          </a:extLst>
        </xdr:cNvPr>
        <xdr:cNvSpPr txBox="1"/>
      </xdr:nvSpPr>
      <xdr:spPr>
        <a:xfrm>
          <a:off x="7185660" y="1074420"/>
          <a:ext cx="204216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D21A0AD-6671-408B-9878-7E508CF571B2}" type="TxLink">
            <a:rPr lang="en-US" sz="2800" b="1" i="0" u="none" strike="noStrike">
              <a:solidFill>
                <a:srgbClr val="000000"/>
              </a:solidFill>
              <a:latin typeface="Aptos Narrow"/>
              <a:ea typeface="+mn-ea"/>
              <a:cs typeface="+mn-cs"/>
            </a:rPr>
            <a:pPr marL="0" indent="0" algn="ctr"/>
            <a:t>14.05%</a:t>
          </a:fld>
          <a:endParaRPr lang="en-IN" sz="2800" b="1" i="0" u="none" strike="noStrike">
            <a:solidFill>
              <a:srgbClr val="000000"/>
            </a:solidFill>
            <a:latin typeface="Aptos Narrow"/>
            <a:ea typeface="+mn-ea"/>
            <a:cs typeface="+mn-cs"/>
          </a:endParaRPr>
        </a:p>
      </xdr:txBody>
    </xdr:sp>
    <xdr:clientData/>
  </xdr:twoCellAnchor>
  <xdr:twoCellAnchor>
    <xdr:from>
      <xdr:col>16</xdr:col>
      <xdr:colOff>160020</xdr:colOff>
      <xdr:row>5</xdr:row>
      <xdr:rowOff>152400</xdr:rowOff>
    </xdr:from>
    <xdr:to>
      <xdr:col>19</xdr:col>
      <xdr:colOff>373380</xdr:colOff>
      <xdr:row>7</xdr:row>
      <xdr:rowOff>38100</xdr:rowOff>
    </xdr:to>
    <xdr:sp macro="" textlink="Analysis!F8">
      <xdr:nvSpPr>
        <xdr:cNvPr id="21" name="TextBox 20">
          <a:extLst>
            <a:ext uri="{FF2B5EF4-FFF2-40B4-BE49-F238E27FC236}">
              <a16:creationId xmlns:a16="http://schemas.microsoft.com/office/drawing/2014/main" id="{54A3606D-F15B-4ACE-B5AC-6AD5D4318046}"/>
            </a:ext>
          </a:extLst>
        </xdr:cNvPr>
        <xdr:cNvSpPr txBox="1"/>
      </xdr:nvSpPr>
      <xdr:spPr>
        <a:xfrm>
          <a:off x="9387840" y="1066800"/>
          <a:ext cx="204216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19C55B2-254F-4DE4-BFC9-9E0FC8320D2C}" type="TxLink">
            <a:rPr lang="en-US" sz="2800" b="1" i="0" u="none" strike="noStrike">
              <a:solidFill>
                <a:srgbClr val="000000"/>
              </a:solidFill>
              <a:latin typeface="Aptos Narrow"/>
              <a:ea typeface="+mn-ea"/>
              <a:cs typeface="+mn-cs"/>
            </a:rPr>
            <a:pPr marL="0" indent="0" algn="ctr"/>
            <a:t>14069K</a:t>
          </a:fld>
          <a:endParaRPr lang="en-IN" sz="2800" b="1" i="0" u="none" strike="noStrike">
            <a:solidFill>
              <a:srgbClr val="000000"/>
            </a:solidFill>
            <a:latin typeface="Aptos Narrow"/>
            <a:ea typeface="+mn-ea"/>
            <a:cs typeface="+mn-cs"/>
          </a:endParaRPr>
        </a:p>
      </xdr:txBody>
    </xdr:sp>
    <xdr:clientData/>
  </xdr:twoCellAnchor>
  <xdr:twoCellAnchor>
    <xdr:from>
      <xdr:col>19</xdr:col>
      <xdr:colOff>541020</xdr:colOff>
      <xdr:row>5</xdr:row>
      <xdr:rowOff>167640</xdr:rowOff>
    </xdr:from>
    <xdr:to>
      <xdr:col>23</xdr:col>
      <xdr:colOff>449580</xdr:colOff>
      <xdr:row>7</xdr:row>
      <xdr:rowOff>53340</xdr:rowOff>
    </xdr:to>
    <xdr:sp macro="" textlink="Analysis!G8">
      <xdr:nvSpPr>
        <xdr:cNvPr id="22" name="TextBox 21">
          <a:extLst>
            <a:ext uri="{FF2B5EF4-FFF2-40B4-BE49-F238E27FC236}">
              <a16:creationId xmlns:a16="http://schemas.microsoft.com/office/drawing/2014/main" id="{A623E8D2-68EF-4B29-A02A-FE8B478DB132}"/>
            </a:ext>
          </a:extLst>
        </xdr:cNvPr>
        <xdr:cNvSpPr txBox="1"/>
      </xdr:nvSpPr>
      <xdr:spPr>
        <a:xfrm>
          <a:off x="11597640" y="1082040"/>
          <a:ext cx="204216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B50E160-6152-487B-981A-A51E14270A22}" type="TxLink">
            <a:rPr lang="en-US" sz="2800" b="1" i="0" u="none" strike="noStrike">
              <a:solidFill>
                <a:srgbClr val="000000"/>
              </a:solidFill>
              <a:latin typeface="Aptos Narrow"/>
              <a:ea typeface="+mn-ea"/>
              <a:cs typeface="+mn-cs"/>
            </a:rPr>
            <a:pPr marL="0" indent="0" algn="ctr"/>
            <a:t>110</a:t>
          </a:fld>
          <a:endParaRPr lang="en-IN" sz="2800" b="1" i="0" u="none" strike="noStrike">
            <a:solidFill>
              <a:srgbClr val="000000"/>
            </a:solidFill>
            <a:latin typeface="Aptos Narrow"/>
            <a:ea typeface="+mn-ea"/>
            <a:cs typeface="+mn-cs"/>
          </a:endParaRPr>
        </a:p>
      </xdr:txBody>
    </xdr:sp>
    <xdr:clientData/>
  </xdr:twoCellAnchor>
  <xdr:twoCellAnchor>
    <xdr:from>
      <xdr:col>1</xdr:col>
      <xdr:colOff>91440</xdr:colOff>
      <xdr:row>10</xdr:row>
      <xdr:rowOff>45720</xdr:rowOff>
    </xdr:from>
    <xdr:to>
      <xdr:col>13</xdr:col>
      <xdr:colOff>220980</xdr:colOff>
      <xdr:row>16</xdr:row>
      <xdr:rowOff>121920</xdr:rowOff>
    </xdr:to>
    <xdr:graphicFrame macro="">
      <xdr:nvGraphicFramePr>
        <xdr:cNvPr id="25" name="Chart 24">
          <a:extLst>
            <a:ext uri="{FF2B5EF4-FFF2-40B4-BE49-F238E27FC236}">
              <a16:creationId xmlns:a16="http://schemas.microsoft.com/office/drawing/2014/main" id="{F9B00F00-4667-4A84-9E12-D44D572047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83820</xdr:colOff>
      <xdr:row>16</xdr:row>
      <xdr:rowOff>68580</xdr:rowOff>
    </xdr:from>
    <xdr:to>
      <xdr:col>8</xdr:col>
      <xdr:colOff>556260</xdr:colOff>
      <xdr:row>27</xdr:row>
      <xdr:rowOff>175260</xdr:rowOff>
    </xdr:to>
    <xdr:sp macro="" textlink="">
      <xdr:nvSpPr>
        <xdr:cNvPr id="26" name="Rectangle 25">
          <a:extLst>
            <a:ext uri="{FF2B5EF4-FFF2-40B4-BE49-F238E27FC236}">
              <a16:creationId xmlns:a16="http://schemas.microsoft.com/office/drawing/2014/main" id="{227012E8-7C78-E0D7-CE9F-47964E3F3371}"/>
            </a:ext>
          </a:extLst>
        </xdr:cNvPr>
        <xdr:cNvSpPr/>
      </xdr:nvSpPr>
      <xdr:spPr>
        <a:xfrm>
          <a:off x="502920" y="2994660"/>
          <a:ext cx="4404360" cy="21183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xdr:col>
      <xdr:colOff>99060</xdr:colOff>
      <xdr:row>17</xdr:row>
      <xdr:rowOff>38100</xdr:rowOff>
    </xdr:from>
    <xdr:to>
      <xdr:col>5</xdr:col>
      <xdr:colOff>190500</xdr:colOff>
      <xdr:row>28</xdr:row>
      <xdr:rowOff>53340</xdr:rowOff>
    </xdr:to>
    <mc:AlternateContent xmlns:mc="http://schemas.openxmlformats.org/markup-compatibility/2006" xmlns:a14="http://schemas.microsoft.com/office/drawing/2010/main">
      <mc:Choice Requires="a14">
        <xdr:graphicFrame macro="">
          <xdr:nvGraphicFramePr>
            <xdr:cNvPr id="27" name="States 1">
              <a:extLst>
                <a:ext uri="{FF2B5EF4-FFF2-40B4-BE49-F238E27FC236}">
                  <a16:creationId xmlns:a16="http://schemas.microsoft.com/office/drawing/2014/main" id="{A00C5ACE-4713-4DD7-A8D7-35D15AE5AED4}"/>
                </a:ext>
              </a:extLst>
            </xdr:cNvPr>
            <xdr:cNvGraphicFramePr/>
          </xdr:nvGraphicFramePr>
          <xdr:xfrm>
            <a:off x="0" y="0"/>
            <a:ext cx="0" cy="0"/>
          </xdr:xfrm>
          <a:graphic>
            <a:graphicData uri="http://schemas.microsoft.com/office/drawing/2010/slicer">
              <sle:slicer xmlns:sle="http://schemas.microsoft.com/office/drawing/2010/slicer" name="States 1"/>
            </a:graphicData>
          </a:graphic>
        </xdr:graphicFrame>
      </mc:Choice>
      <mc:Fallback xmlns="">
        <xdr:sp macro="" textlink="">
          <xdr:nvSpPr>
            <xdr:cNvPr id="0" name=""/>
            <xdr:cNvSpPr>
              <a:spLocks noTextEdit="1"/>
            </xdr:cNvSpPr>
          </xdr:nvSpPr>
          <xdr:spPr>
            <a:xfrm>
              <a:off x="518160" y="3147060"/>
              <a:ext cx="2194560" cy="2026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266700</xdr:colOff>
      <xdr:row>18</xdr:row>
      <xdr:rowOff>152400</xdr:rowOff>
    </xdr:from>
    <xdr:to>
      <xdr:col>10</xdr:col>
      <xdr:colOff>304800</xdr:colOff>
      <xdr:row>28</xdr:row>
      <xdr:rowOff>30480</xdr:rowOff>
    </xdr:to>
    <xdr:graphicFrame macro="">
      <xdr:nvGraphicFramePr>
        <xdr:cNvPr id="28" name="Chart 27">
          <a:extLst>
            <a:ext uri="{FF2B5EF4-FFF2-40B4-BE49-F238E27FC236}">
              <a16:creationId xmlns:a16="http://schemas.microsoft.com/office/drawing/2014/main" id="{361DC34A-DF01-4A53-B174-B6E157E558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403860</xdr:colOff>
      <xdr:row>18</xdr:row>
      <xdr:rowOff>175260</xdr:rowOff>
    </xdr:from>
    <xdr:to>
      <xdr:col>15</xdr:col>
      <xdr:colOff>548640</xdr:colOff>
      <xdr:row>28</xdr:row>
      <xdr:rowOff>45720</xdr:rowOff>
    </xdr:to>
    <xdr:graphicFrame macro="">
      <xdr:nvGraphicFramePr>
        <xdr:cNvPr id="30" name="Chart 29">
          <a:extLst>
            <a:ext uri="{FF2B5EF4-FFF2-40B4-BE49-F238E27FC236}">
              <a16:creationId xmlns:a16="http://schemas.microsoft.com/office/drawing/2014/main" id="{6286E438-532B-4FDC-B489-5C496218CB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0</xdr:colOff>
      <xdr:row>9</xdr:row>
      <xdr:rowOff>38100</xdr:rowOff>
    </xdr:from>
    <xdr:to>
      <xdr:col>23</xdr:col>
      <xdr:colOff>411480</xdr:colOff>
      <xdr:row>16</xdr:row>
      <xdr:rowOff>114300</xdr:rowOff>
    </xdr:to>
    <xdr:sp macro="" textlink="">
      <xdr:nvSpPr>
        <xdr:cNvPr id="31" name="TextBox 30">
          <a:extLst>
            <a:ext uri="{FF2B5EF4-FFF2-40B4-BE49-F238E27FC236}">
              <a16:creationId xmlns:a16="http://schemas.microsoft.com/office/drawing/2014/main" id="{B4748E23-F97B-9C5E-700A-FD9DC6680CC7}"/>
            </a:ext>
          </a:extLst>
        </xdr:cNvPr>
        <xdr:cNvSpPr txBox="1"/>
      </xdr:nvSpPr>
      <xdr:spPr>
        <a:xfrm>
          <a:off x="7399020" y="1684020"/>
          <a:ext cx="6202680" cy="1356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editAs="oneCell">
    <xdr:from>
      <xdr:col>13</xdr:col>
      <xdr:colOff>358140</xdr:colOff>
      <xdr:row>10</xdr:row>
      <xdr:rowOff>30480</xdr:rowOff>
    </xdr:from>
    <xdr:to>
      <xdr:col>23</xdr:col>
      <xdr:colOff>533400</xdr:colOff>
      <xdr:row>16</xdr:row>
      <xdr:rowOff>144780</xdr:rowOff>
    </xdr:to>
    <xdr:pic>
      <xdr:nvPicPr>
        <xdr:cNvPr id="32" name="Picture 31">
          <a:extLst>
            <a:ext uri="{FF2B5EF4-FFF2-40B4-BE49-F238E27FC236}">
              <a16:creationId xmlns:a16="http://schemas.microsoft.com/office/drawing/2014/main" id="{F07FB672-9D35-3B3F-FED4-7E7611B12DA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757160" y="1859280"/>
          <a:ext cx="5966460" cy="12115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16</xdr:col>
      <xdr:colOff>7620</xdr:colOff>
      <xdr:row>18</xdr:row>
      <xdr:rowOff>152400</xdr:rowOff>
    </xdr:from>
    <xdr:to>
      <xdr:col>23</xdr:col>
      <xdr:colOff>487680</xdr:colOff>
      <xdr:row>28</xdr:row>
      <xdr:rowOff>38100</xdr:rowOff>
    </xdr:to>
    <xdr:graphicFrame macro="">
      <xdr:nvGraphicFramePr>
        <xdr:cNvPr id="33" name="Chart 32">
          <a:extLst>
            <a:ext uri="{FF2B5EF4-FFF2-40B4-BE49-F238E27FC236}">
              <a16:creationId xmlns:a16="http://schemas.microsoft.com/office/drawing/2014/main" id="{7D72419F-4F31-477E-889D-AE01A79409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144780</xdr:colOff>
      <xdr:row>8</xdr:row>
      <xdr:rowOff>53340</xdr:rowOff>
    </xdr:from>
    <xdr:to>
      <xdr:col>13</xdr:col>
      <xdr:colOff>114300</xdr:colOff>
      <xdr:row>9</xdr:row>
      <xdr:rowOff>121920</xdr:rowOff>
    </xdr:to>
    <xdr:sp macro="" textlink="">
      <xdr:nvSpPr>
        <xdr:cNvPr id="34" name="TextBox 33">
          <a:extLst>
            <a:ext uri="{FF2B5EF4-FFF2-40B4-BE49-F238E27FC236}">
              <a16:creationId xmlns:a16="http://schemas.microsoft.com/office/drawing/2014/main" id="{DE356A67-CAF3-89B6-4C5F-0AE847543410}"/>
            </a:ext>
          </a:extLst>
        </xdr:cNvPr>
        <xdr:cNvSpPr txBox="1"/>
      </xdr:nvSpPr>
      <xdr:spPr>
        <a:xfrm>
          <a:off x="563880" y="1516380"/>
          <a:ext cx="694944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solidFill>
                <a:schemeClr val="bg1"/>
              </a:solidFill>
              <a:latin typeface="Aptos SemiBold" panose="020B0004020202020204" pitchFamily="34" charset="0"/>
            </a:rPr>
            <a:t>Top 5 States</a:t>
          </a:r>
          <a:r>
            <a:rPr lang="en-IN" sz="1600" baseline="0">
              <a:solidFill>
                <a:schemeClr val="bg1"/>
              </a:solidFill>
              <a:latin typeface="Aptos SemiBold" panose="020B0004020202020204" pitchFamily="34" charset="0"/>
            </a:rPr>
            <a:t> with Highest Number of Hospitals </a:t>
          </a:r>
          <a:endParaRPr lang="en-IN" sz="1600">
            <a:solidFill>
              <a:schemeClr val="bg1"/>
            </a:solidFill>
            <a:latin typeface="Aptos SemiBold" panose="020B0004020202020204" pitchFamily="34" charset="0"/>
          </a:endParaRPr>
        </a:p>
      </xdr:txBody>
    </xdr:sp>
    <xdr:clientData/>
  </xdr:twoCellAnchor>
  <xdr:twoCellAnchor>
    <xdr:from>
      <xdr:col>13</xdr:col>
      <xdr:colOff>403860</xdr:colOff>
      <xdr:row>8</xdr:row>
      <xdr:rowOff>60960</xdr:rowOff>
    </xdr:from>
    <xdr:to>
      <xdr:col>23</xdr:col>
      <xdr:colOff>579120</xdr:colOff>
      <xdr:row>9</xdr:row>
      <xdr:rowOff>129540</xdr:rowOff>
    </xdr:to>
    <xdr:sp macro="" textlink="">
      <xdr:nvSpPr>
        <xdr:cNvPr id="35" name="TextBox 34">
          <a:extLst>
            <a:ext uri="{FF2B5EF4-FFF2-40B4-BE49-F238E27FC236}">
              <a16:creationId xmlns:a16="http://schemas.microsoft.com/office/drawing/2014/main" id="{73392E70-4113-4CE8-A896-F1E320BEE7A5}"/>
            </a:ext>
          </a:extLst>
        </xdr:cNvPr>
        <xdr:cNvSpPr txBox="1"/>
      </xdr:nvSpPr>
      <xdr:spPr>
        <a:xfrm>
          <a:off x="7802880" y="1524000"/>
          <a:ext cx="596646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solidFill>
                <a:schemeClr val="bg1"/>
              </a:solidFill>
              <a:latin typeface="Aptos SemiBold" panose="020B0004020202020204" pitchFamily="34" charset="0"/>
            </a:rPr>
            <a:t>Top 5 States</a:t>
          </a:r>
          <a:r>
            <a:rPr lang="en-IN" sz="1600" baseline="0">
              <a:solidFill>
                <a:schemeClr val="bg1"/>
              </a:solidFill>
              <a:latin typeface="Aptos SemiBold" panose="020B0004020202020204" pitchFamily="34" charset="0"/>
            </a:rPr>
            <a:t> Needs highest Attention</a:t>
          </a:r>
          <a:endParaRPr lang="en-IN" sz="1600">
            <a:solidFill>
              <a:schemeClr val="bg1"/>
            </a:solidFill>
            <a:latin typeface="Aptos SemiBold" panose="020B0004020202020204" pitchFamily="34" charset="0"/>
          </a:endParaRPr>
        </a:p>
      </xdr:txBody>
    </xdr:sp>
    <xdr:clientData/>
  </xdr:twoCellAnchor>
  <xdr:twoCellAnchor>
    <xdr:from>
      <xdr:col>5</xdr:col>
      <xdr:colOff>297180</xdr:colOff>
      <xdr:row>17</xdr:row>
      <xdr:rowOff>45720</xdr:rowOff>
    </xdr:from>
    <xdr:to>
      <xdr:col>10</xdr:col>
      <xdr:colOff>266700</xdr:colOff>
      <xdr:row>18</xdr:row>
      <xdr:rowOff>114300</xdr:rowOff>
    </xdr:to>
    <xdr:sp macro="" textlink="">
      <xdr:nvSpPr>
        <xdr:cNvPr id="36" name="TextBox 35">
          <a:extLst>
            <a:ext uri="{FF2B5EF4-FFF2-40B4-BE49-F238E27FC236}">
              <a16:creationId xmlns:a16="http://schemas.microsoft.com/office/drawing/2014/main" id="{DCE29A19-D3FA-4160-82F7-C31222E936FD}"/>
            </a:ext>
          </a:extLst>
        </xdr:cNvPr>
        <xdr:cNvSpPr txBox="1"/>
      </xdr:nvSpPr>
      <xdr:spPr>
        <a:xfrm>
          <a:off x="2819400" y="3154680"/>
          <a:ext cx="301752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bg1"/>
              </a:solidFill>
              <a:latin typeface="Aptos SemiBold" panose="020B0004020202020204" pitchFamily="34" charset="0"/>
            </a:rPr>
            <a:t>Dengue Cases Vs Deaths due to Dengue </a:t>
          </a:r>
        </a:p>
      </xdr:txBody>
    </xdr:sp>
    <xdr:clientData/>
  </xdr:twoCellAnchor>
  <xdr:twoCellAnchor>
    <xdr:from>
      <xdr:col>10</xdr:col>
      <xdr:colOff>480060</xdr:colOff>
      <xdr:row>17</xdr:row>
      <xdr:rowOff>60960</xdr:rowOff>
    </xdr:from>
    <xdr:to>
      <xdr:col>15</xdr:col>
      <xdr:colOff>449580</xdr:colOff>
      <xdr:row>18</xdr:row>
      <xdr:rowOff>129540</xdr:rowOff>
    </xdr:to>
    <xdr:sp macro="" textlink="">
      <xdr:nvSpPr>
        <xdr:cNvPr id="37" name="TextBox 36">
          <a:extLst>
            <a:ext uri="{FF2B5EF4-FFF2-40B4-BE49-F238E27FC236}">
              <a16:creationId xmlns:a16="http://schemas.microsoft.com/office/drawing/2014/main" id="{744E27CF-65A0-4F5E-B3D1-2607A6F25B00}"/>
            </a:ext>
          </a:extLst>
        </xdr:cNvPr>
        <xdr:cNvSpPr txBox="1"/>
      </xdr:nvSpPr>
      <xdr:spPr>
        <a:xfrm>
          <a:off x="6050280" y="3169920"/>
          <a:ext cx="301752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bg1"/>
              </a:solidFill>
              <a:latin typeface="Aptos SemiBold" panose="020B0004020202020204" pitchFamily="34" charset="0"/>
            </a:rPr>
            <a:t>Doctors</a:t>
          </a:r>
          <a:r>
            <a:rPr lang="en-IN" sz="1200" baseline="0">
              <a:solidFill>
                <a:schemeClr val="bg1"/>
              </a:solidFill>
              <a:latin typeface="Aptos SemiBold" panose="020B0004020202020204" pitchFamily="34" charset="0"/>
            </a:rPr>
            <a:t> Sanctioned Vs Positions </a:t>
          </a:r>
          <a:endParaRPr lang="en-IN" sz="1200">
            <a:solidFill>
              <a:schemeClr val="bg1"/>
            </a:solidFill>
            <a:latin typeface="Aptos SemiBold" panose="020B0004020202020204" pitchFamily="34" charset="0"/>
          </a:endParaRPr>
        </a:p>
      </xdr:txBody>
    </xdr:sp>
    <xdr:clientData/>
  </xdr:twoCellAnchor>
  <xdr:twoCellAnchor>
    <xdr:from>
      <xdr:col>16</xdr:col>
      <xdr:colOff>53340</xdr:colOff>
      <xdr:row>17</xdr:row>
      <xdr:rowOff>53340</xdr:rowOff>
    </xdr:from>
    <xdr:to>
      <xdr:col>23</xdr:col>
      <xdr:colOff>449580</xdr:colOff>
      <xdr:row>18</xdr:row>
      <xdr:rowOff>121920</xdr:rowOff>
    </xdr:to>
    <xdr:sp macro="" textlink="">
      <xdr:nvSpPr>
        <xdr:cNvPr id="38" name="TextBox 37">
          <a:extLst>
            <a:ext uri="{FF2B5EF4-FFF2-40B4-BE49-F238E27FC236}">
              <a16:creationId xmlns:a16="http://schemas.microsoft.com/office/drawing/2014/main" id="{3950C5EE-B489-4EFB-A149-710200231690}"/>
            </a:ext>
          </a:extLst>
        </xdr:cNvPr>
        <xdr:cNvSpPr txBox="1"/>
      </xdr:nvSpPr>
      <xdr:spPr>
        <a:xfrm>
          <a:off x="9281160" y="3162300"/>
          <a:ext cx="435864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bg1"/>
              </a:solidFill>
              <a:latin typeface="Aptos SemiBold" panose="020B0004020202020204" pitchFamily="34" charset="0"/>
            </a:rPr>
            <a:t>Available Beds Vs Dengue Cases</a:t>
          </a:r>
        </a:p>
      </xdr:txBody>
    </xdr:sp>
    <xdr:clientData/>
  </xdr:twoCellAnchor>
  <xdr:twoCellAnchor>
    <xdr:from>
      <xdr:col>1</xdr:col>
      <xdr:colOff>190500</xdr:colOff>
      <xdr:row>29</xdr:row>
      <xdr:rowOff>68580</xdr:rowOff>
    </xdr:from>
    <xdr:to>
      <xdr:col>23</xdr:col>
      <xdr:colOff>381000</xdr:colOff>
      <xdr:row>44</xdr:row>
      <xdr:rowOff>129540</xdr:rowOff>
    </xdr:to>
    <xdr:sp macro="" textlink="">
      <xdr:nvSpPr>
        <xdr:cNvPr id="39" name="TextBox 38">
          <a:extLst>
            <a:ext uri="{FF2B5EF4-FFF2-40B4-BE49-F238E27FC236}">
              <a16:creationId xmlns:a16="http://schemas.microsoft.com/office/drawing/2014/main" id="{EDA2ECA6-01AC-4310-86D4-60C8288BFD0D}"/>
            </a:ext>
          </a:extLst>
        </xdr:cNvPr>
        <xdr:cNvSpPr txBox="1"/>
      </xdr:nvSpPr>
      <xdr:spPr>
        <a:xfrm>
          <a:off x="609600" y="5372100"/>
          <a:ext cx="12961620" cy="2804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chemeClr val="bg1"/>
              </a:solidFill>
            </a:rPr>
            <a:t>key Insights </a:t>
          </a:r>
        </a:p>
        <a:p>
          <a:endParaRPr lang="en-IN"/>
        </a:p>
        <a:p>
          <a:r>
            <a:rPr lang="en-IN" sz="1200">
              <a:solidFill>
                <a:schemeClr val="bg1"/>
              </a:solidFill>
              <a:latin typeface="Aptos SemiBold" panose="020B0004020202020204" pitchFamily="34" charset="0"/>
            </a:rPr>
            <a:t>1️⃣ </a:t>
          </a:r>
          <a:r>
            <a:rPr lang="en-IN" sz="1200" b="1">
              <a:solidFill>
                <a:schemeClr val="bg1"/>
              </a:solidFill>
              <a:latin typeface="Aptos SemiBold" panose="020B0004020202020204" pitchFamily="34" charset="0"/>
            </a:rPr>
            <a:t>Chandigarh and Uttar Pradesh show the highest doctor shortages</a:t>
          </a:r>
          <a:r>
            <a:rPr lang="en-IN" sz="1200">
              <a:solidFill>
                <a:schemeClr val="bg1"/>
              </a:solidFill>
              <a:latin typeface="Aptos SemiBold" panose="020B0004020202020204" pitchFamily="34" charset="0"/>
            </a:rPr>
            <a:t>, indicating critical workforce gaps despite high healthcare demand.</a:t>
          </a:r>
        </a:p>
        <a:p>
          <a:endParaRPr lang="en-IN" sz="1200">
            <a:solidFill>
              <a:schemeClr val="bg1"/>
            </a:solidFill>
            <a:latin typeface="Aptos SemiBold" panose="020B0004020202020204" pitchFamily="34" charset="0"/>
          </a:endParaRPr>
        </a:p>
        <a:p>
          <a:r>
            <a:rPr lang="en-IN" sz="1200">
              <a:solidFill>
                <a:schemeClr val="bg1"/>
              </a:solidFill>
              <a:latin typeface="Aptos SemiBold" panose="020B0004020202020204" pitchFamily="34" charset="0"/>
            </a:rPr>
            <a:t>2️⃣ </a:t>
          </a:r>
          <a:r>
            <a:rPr lang="en-IN" sz="1200" b="1">
              <a:solidFill>
                <a:schemeClr val="bg1"/>
              </a:solidFill>
              <a:latin typeface="Aptos SemiBold" panose="020B0004020202020204" pitchFamily="34" charset="0"/>
            </a:rPr>
            <a:t>Jammu &amp; Kashmir and Mizoram face low doctor availability per 1000 population</a:t>
          </a:r>
          <a:r>
            <a:rPr lang="en-IN" sz="1200">
              <a:solidFill>
                <a:schemeClr val="bg1"/>
              </a:solidFill>
              <a:latin typeface="Aptos SemiBold" panose="020B0004020202020204" pitchFamily="34" charset="0"/>
            </a:rPr>
            <a:t>, making them vulnerable during dengue outbreaks.</a:t>
          </a:r>
        </a:p>
        <a:p>
          <a:endParaRPr lang="en-IN" sz="1200">
            <a:solidFill>
              <a:schemeClr val="bg1"/>
            </a:solidFill>
            <a:latin typeface="Aptos SemiBold" panose="020B0004020202020204" pitchFamily="34" charset="0"/>
          </a:endParaRPr>
        </a:p>
        <a:p>
          <a:r>
            <a:rPr lang="en-IN" sz="1200">
              <a:solidFill>
                <a:schemeClr val="bg1"/>
              </a:solidFill>
              <a:latin typeface="Aptos SemiBold" panose="020B0004020202020204" pitchFamily="34" charset="0"/>
            </a:rPr>
            <a:t>3️⃣ </a:t>
          </a:r>
          <a:r>
            <a:rPr lang="en-IN" sz="1200" b="1">
              <a:solidFill>
                <a:schemeClr val="bg1"/>
              </a:solidFill>
              <a:latin typeface="Aptos SemiBold" panose="020B0004020202020204" pitchFamily="34" charset="0"/>
            </a:rPr>
            <a:t>Uttar Pradesh has very high population per hospital</a:t>
          </a:r>
          <a:r>
            <a:rPr lang="en-IN" sz="1200">
              <a:solidFill>
                <a:schemeClr val="bg1"/>
              </a:solidFill>
              <a:latin typeface="Aptos SemiBold" panose="020B0004020202020204" pitchFamily="34" charset="0"/>
            </a:rPr>
            <a:t>, creating heavy pressure on healthcare infrastructure.</a:t>
          </a:r>
        </a:p>
        <a:p>
          <a:endParaRPr lang="en-IN" sz="1200">
            <a:solidFill>
              <a:schemeClr val="bg1"/>
            </a:solidFill>
            <a:latin typeface="Aptos SemiBold" panose="020B0004020202020204" pitchFamily="34" charset="0"/>
          </a:endParaRPr>
        </a:p>
        <a:p>
          <a:r>
            <a:rPr lang="en-IN" sz="1200">
              <a:solidFill>
                <a:schemeClr val="bg1"/>
              </a:solidFill>
              <a:latin typeface="Aptos SemiBold" panose="020B0004020202020204" pitchFamily="34" charset="0"/>
            </a:rPr>
            <a:t>4️⃣ </a:t>
          </a:r>
          <a:r>
            <a:rPr lang="en-IN" sz="1200" b="1">
              <a:solidFill>
                <a:schemeClr val="bg1"/>
              </a:solidFill>
              <a:latin typeface="Aptos SemiBold" panose="020B0004020202020204" pitchFamily="34" charset="0"/>
            </a:rPr>
            <a:t>States with lower beds per 1000 such as Chhattisgarh and Uttar Pradesh</a:t>
          </a:r>
          <a:r>
            <a:rPr lang="en-IN" sz="1200">
              <a:solidFill>
                <a:schemeClr val="bg1"/>
              </a:solidFill>
              <a:latin typeface="Aptos SemiBold" panose="020B0004020202020204" pitchFamily="34" charset="0"/>
            </a:rPr>
            <a:t> show higher dengue case rates, indicating limited treatment capacity.</a:t>
          </a:r>
        </a:p>
        <a:p>
          <a:endParaRPr lang="en-IN" sz="1200">
            <a:solidFill>
              <a:schemeClr val="bg1"/>
            </a:solidFill>
            <a:latin typeface="Aptos SemiBold" panose="020B0004020202020204" pitchFamily="34" charset="0"/>
          </a:endParaRPr>
        </a:p>
        <a:p>
          <a:r>
            <a:rPr lang="en-IN" sz="1200">
              <a:solidFill>
                <a:schemeClr val="bg1"/>
              </a:solidFill>
              <a:latin typeface="Aptos SemiBold" panose="020B0004020202020204" pitchFamily="34" charset="0"/>
            </a:rPr>
            <a:t>5️⃣ </a:t>
          </a:r>
          <a:r>
            <a:rPr lang="en-IN" sz="1200" b="1">
              <a:solidFill>
                <a:schemeClr val="bg1"/>
              </a:solidFill>
              <a:latin typeface="Aptos SemiBold" panose="020B0004020202020204" pitchFamily="34" charset="0"/>
            </a:rPr>
            <a:t>There is a visible gap between doctors sanctioned and doctors in position</a:t>
          </a:r>
          <a:r>
            <a:rPr lang="en-IN" sz="1200">
              <a:solidFill>
                <a:schemeClr val="bg1"/>
              </a:solidFill>
              <a:latin typeface="Aptos SemiBold" panose="020B0004020202020204" pitchFamily="34" charset="0"/>
            </a:rPr>
            <a:t>, especially in high-burden states like Uttar Pradesh and Jammu &amp; Kashmir.</a:t>
          </a:r>
        </a:p>
        <a:p>
          <a:endParaRPr lang="en-IN" sz="1200">
            <a:solidFill>
              <a:schemeClr val="bg1"/>
            </a:solidFill>
            <a:latin typeface="Aptos SemiBold" panose="020B0004020202020204" pitchFamily="34" charset="0"/>
          </a:endParaRPr>
        </a:p>
        <a:p>
          <a:r>
            <a:rPr lang="en-IN" sz="1200">
              <a:solidFill>
                <a:schemeClr val="bg1"/>
              </a:solidFill>
              <a:latin typeface="Aptos SemiBold" panose="020B0004020202020204" pitchFamily="34" charset="0"/>
            </a:rPr>
            <a:t>6️⃣ </a:t>
          </a:r>
          <a:r>
            <a:rPr lang="en-IN" sz="1200" b="1">
              <a:solidFill>
                <a:schemeClr val="bg1"/>
              </a:solidFill>
              <a:latin typeface="Aptos SemiBold" panose="020B0004020202020204" pitchFamily="34" charset="0"/>
            </a:rPr>
            <a:t>The top 5 high-risk states (Chandigarh, Chhattisgarh, J&amp;K, Mizoram, UP)</a:t>
          </a:r>
          <a:r>
            <a:rPr lang="en-IN" sz="1200">
              <a:solidFill>
                <a:schemeClr val="bg1"/>
              </a:solidFill>
              <a:latin typeface="Aptos SemiBold" panose="020B0004020202020204" pitchFamily="34" charset="0"/>
            </a:rPr>
            <a:t> should be prioritized for doctor recruitment and hospital capacity expansion.</a:t>
          </a:r>
        </a:p>
        <a:p>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zarna Mehta" refreshedDate="46051.952037615738" createdVersion="8" refreshedVersion="8" minRefreshableVersion="3" recordCount="35" xr:uid="{B66EEDEB-66C3-4C90-9604-7432B4E96B18}">
  <cacheSource type="worksheet">
    <worksheetSource name="Population__2_1"/>
  </cacheSource>
  <cacheFields count="16">
    <cacheField name="States" numFmtId="0">
      <sharedItems count="35">
        <s v="Andaman &amp; Nicobar Islands"/>
        <s v="Andhra Pradesh"/>
        <s v="Arunachal Pradesh"/>
        <s v="Assam"/>
        <s v="Bihar"/>
        <s v="Chandigarh"/>
        <s v="Chhattisgarh"/>
        <s v="Dadra &amp; Nagar Haveli"/>
        <s v="Daman &amp; Diu"/>
        <s v="Delhi"/>
        <s v="Goa"/>
        <s v="Gujarat"/>
        <s v="Haryana"/>
        <s v="Himachal Pradesh"/>
        <s v="Jammu &amp; Kashmir"/>
        <s v="Jharkhand"/>
        <s v="Karnataka"/>
        <s v="Kerala"/>
        <s v="Lakshadweep"/>
        <s v="Madhya Pradesh"/>
        <s v="Maharashtra"/>
        <s v="Manipur"/>
        <s v="Meghalaya"/>
        <s v="Mizoram"/>
        <s v="Nagaland"/>
        <s v="Odisha"/>
        <s v="Puducherry"/>
        <s v="Punjab"/>
        <s v="Rajasthan"/>
        <s v="Sikkim"/>
        <s v="Tamil Nadu"/>
        <s v="Tripura"/>
        <s v="Uttar Pradesh"/>
        <s v="Uttarakhand"/>
        <s v="West Bengal"/>
      </sharedItems>
    </cacheField>
    <cacheField name="Population" numFmtId="0">
      <sharedItems containsSemiMixedTypes="0" containsString="0" containsNumber="1" containsInteger="1" minValue="64473" maxValue="194121100"/>
    </cacheField>
    <cacheField name="Average_growth" numFmtId="0">
      <sharedItems containsSemiMixedTypes="0" containsString="0" containsNumber="1" minValue="5.9666666666666757E-3" maxValue="0.82280909090909093"/>
    </cacheField>
    <cacheField name="Hospitals_Count" numFmtId="0">
      <sharedItems containsSemiMixedTypes="0" containsString="0" containsNumber="1" containsInteger="1" minValue="0" maxValue="2316"/>
    </cacheField>
    <cacheField name="Hospitals_Beds_Count" numFmtId="0">
      <sharedItems containsSemiMixedTypes="0" containsString="0" containsNumber="1" containsInteger="1" minValue="0" maxValue="11461"/>
    </cacheField>
    <cacheField name="Dengue_Cases_2019_to_2024" numFmtId="0">
      <sharedItems containsSemiMixedTypes="0" containsString="0" containsNumber="1" containsInteger="1" minValue="381" maxValue="111825"/>
    </cacheField>
    <cacheField name="Dengue_Deaths_2019 to 2024" numFmtId="0">
      <sharedItems containsSemiMixedTypes="0" containsString="0" containsNumber="1" containsInteger="1" minValue="0" maxValue="252"/>
    </cacheField>
    <cacheField name="Doctors_Senctioned" numFmtId="0">
      <sharedItems containsSemiMixedTypes="0" containsString="0" containsNumber="1" containsInteger="1" minValue="5" maxValue="4509"/>
    </cacheField>
    <cacheField name="Docotrs_in_Position" numFmtId="0">
      <sharedItems containsSemiMixedTypes="0" containsString="0" containsNumber="1" containsInteger="1" minValue="0" maxValue="2929"/>
    </cacheField>
    <cacheField name="Projected_Population" numFmtId="2">
      <sharedItems containsSemiMixedTypes="0" containsString="0" containsNumber="1" minValue="68534.798999999999" maxValue="232978236.18652174"/>
    </cacheField>
    <cacheField name="Beds_per_1000" numFmtId="10">
      <sharedItems containsSemiMixedTypes="0" containsString="0" containsNumber="1" minValue="0" maxValue="0.23507790745096649"/>
    </cacheField>
    <cacheField name="Doctors_per_1000" numFmtId="10">
      <sharedItems containsSemiMixedTypes="0" containsString="0" containsNumber="1" minValue="0" maxValue="0.1167290211210804"/>
    </cacheField>
    <cacheField name="Population_per_hospital" numFmtId="1">
      <sharedItems containsSemiMixedTypes="0" containsString="0" containsNumber="1" minValue="28156.367838556507" maxValue="14068934.267745454"/>
    </cacheField>
    <cacheField name="Doctor Shortage %" numFmtId="2">
      <sharedItems containsSemiMixedTypes="0" containsString="0" containsNumber="1" minValue="-44.866666666666667" maxValue="1"/>
    </cacheField>
    <cacheField name="Dengue_Case_Rate" numFmtId="10">
      <sharedItems containsSemiMixedTypes="0" containsString="0" containsNumber="1" minValue="1.0132723898899671E-4" maxValue="1.308824149320114E-2"/>
    </cacheField>
    <cacheField name="Dengue_death_rate" numFmtId="2">
      <sharedItems containsSemiMixedTypes="0" containsString="0" containsNumber="1" minValue="0" maxValue="5.9609698403311649E-3"/>
    </cacheField>
  </cacheFields>
  <extLst>
    <ext xmlns:x14="http://schemas.microsoft.com/office/spreadsheetml/2009/9/main" uri="{725AE2AE-9491-48be-B2B4-4EB974FC3084}">
      <x14:pivotCacheDefinition pivotCacheId="149441332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
  <r>
    <x v="0"/>
    <n v="380581"/>
    <n v="5.9666666666666757E-3"/>
    <n v="5"/>
    <n v="90"/>
    <n v="2338"/>
    <n v="3"/>
    <n v="42"/>
    <n v="34"/>
    <n v="382851.79996666667"/>
    <n v="0.23507790745096649"/>
    <n v="8.8807209481476204E-2"/>
    <n v="76570.359993333332"/>
    <n v="0.19047619047619047"/>
    <n v="6.1068016402262178E-3"/>
    <n v="1.2831479897348161E-3"/>
  </r>
  <r>
    <x v="1"/>
    <n v="67459740"/>
    <n v="0.11214117647058824"/>
    <n v="8"/>
    <n v="365"/>
    <n v="25651"/>
    <n v="0"/>
    <n v="2267"/>
    <n v="2045"/>
    <n v="75024754.607999995"/>
    <n v="4.8650608976610974E-3"/>
    <n v="2.7257669960868338E-2"/>
    <n v="9378094.3259999994"/>
    <n v="9.7926775474194969E-2"/>
    <n v="3.4190048516686248E-4"/>
    <n v="0"/>
  </r>
  <r>
    <x v="2"/>
    <n v="1383727"/>
    <n v="0.27805625"/>
    <n v="12"/>
    <n v="125"/>
    <n v="381"/>
    <n v="0"/>
    <n v="30"/>
    <n v="125"/>
    <n v="1768480.9406437501"/>
    <n v="7.0682130141871011E-2"/>
    <n v="7.0682130141871011E-2"/>
    <n v="147373.41172031252"/>
    <n v="-3.1666666666666665"/>
    <n v="2.1543913267242282E-4"/>
    <n v="0"/>
  </r>
  <r>
    <x v="3"/>
    <n v="28381808"/>
    <n v="0.16313076923076925"/>
    <n v="4"/>
    <n v="205"/>
    <n v="10636"/>
    <n v="9"/>
    <n v="30"/>
    <n v="1376"/>
    <n v="33011754.171200003"/>
    <n v="6.209909323111505E-3"/>
    <n v="4.1682123066348435E-2"/>
    <n v="8252938.5428000009"/>
    <n v="-44.866666666666667"/>
    <n v="3.2218827102738516E-4"/>
    <n v="8.4618277547950354E-4"/>
  </r>
  <r>
    <x v="4"/>
    <n v="89751364"/>
    <n v="0.25403636363636362"/>
    <n v="8"/>
    <n v="950"/>
    <n v="42041"/>
    <n v="110"/>
    <n v="2078"/>
    <n v="1786"/>
    <n v="112551474.14196363"/>
    <n v="8.4405824734178451E-3"/>
    <n v="1.5868295050025547E-2"/>
    <n v="14068934.267745454"/>
    <n v="0.14051973051010588"/>
    <n v="3.7352687133153644E-4"/>
    <n v="2.6164934230869866E-3"/>
  </r>
  <r>
    <x v="5"/>
    <n v="1055450"/>
    <n v="0.1719"/>
    <n v="2"/>
    <n v="80"/>
    <n v="3511"/>
    <n v="4"/>
    <n v="132"/>
    <n v="0"/>
    <n v="1236881.855"/>
    <n v="6.4678772411937438E-2"/>
    <n v="0"/>
    <n v="618440.92749999999"/>
    <n v="1"/>
    <n v="2.8385896242289041E-3"/>
    <n v="1.1392765593847907E-3"/>
  </r>
  <r>
    <x v="6"/>
    <n v="25545198"/>
    <n v="0.20034999999999994"/>
    <n v="15"/>
    <n v="840"/>
    <n v="7116"/>
    <n v="10"/>
    <n v="793"/>
    <n v="359"/>
    <n v="30663178.419300001"/>
    <n v="2.7394420386351325E-2"/>
    <n v="1.1707853474643008E-2"/>
    <n v="2044211.8946200002"/>
    <n v="0.54728877679697352"/>
    <n v="2.3206987555866195E-4"/>
    <n v="1.405283867341203E-3"/>
  </r>
  <r>
    <x v="7"/>
    <n v="343709"/>
    <n v="0.55879999999999996"/>
    <n v="0"/>
    <n v="0"/>
    <n v="4237"/>
    <n v="2"/>
    <n v="15"/>
    <n v="8"/>
    <n v="535773.58919999993"/>
    <n v="0"/>
    <n v="1.4931680398702267E-2"/>
    <n v="535773.58919999993"/>
    <n v="0.46666666666666667"/>
    <n v="7.9081912311626881E-3"/>
    <n v="4.720320981826764E-4"/>
  </r>
  <r>
    <x v="8"/>
    <n v="243247"/>
    <n v="0.4274"/>
    <n v="2"/>
    <n v="20"/>
    <n v="1503"/>
    <n v="3"/>
    <n v="5"/>
    <n v="4"/>
    <n v="347210.76779999997"/>
    <n v="5.7601900213879259E-2"/>
    <n v="1.1520380042775851E-2"/>
    <n v="173605.38389999999"/>
    <n v="0.2"/>
    <n v="4.3287828010730263E-3"/>
    <n v="1.996007984031936E-3"/>
  </r>
  <r>
    <x v="9"/>
    <n v="14056012"/>
    <n v="0.13059999999999999"/>
    <n v="5"/>
    <n v="600"/>
    <n v="46865"/>
    <n v="51"/>
    <n v="21"/>
    <n v="22"/>
    <n v="15891727.167200001"/>
    <n v="3.7755493388936363E-2"/>
    <n v="1.3843680909276666E-3"/>
    <n v="3178345.4334400003"/>
    <n v="-4.7619047619047616E-2"/>
    <n v="2.9490186627875044E-3"/>
    <n v="1.0882321561933213E-3"/>
  </r>
  <r>
    <x v="10"/>
    <n v="1458545"/>
    <n v="8.2850000000000007E-2"/>
    <n v="2"/>
    <n v="150"/>
    <n v="3149"/>
    <n v="4"/>
    <n v="48"/>
    <n v="56"/>
    <n v="1579385.45325"/>
    <n v="9.4973649207250613E-2"/>
    <n v="3.5456829037373565E-2"/>
    <n v="789692.72662500001"/>
    <n v="-0.16666666666666666"/>
    <n v="1.9938134756908809E-3"/>
    <n v="1.2702445220704986E-3"/>
  </r>
  <r>
    <x v="11"/>
    <n v="54816245"/>
    <n v="0.17310833333333334"/>
    <n v="64"/>
    <n v="3258"/>
    <n v="45563"/>
    <n v="48"/>
    <n v="1865"/>
    <n v="1321"/>
    <n v="64305393.811541669"/>
    <n v="5.0664490284409815E-2"/>
    <n v="2.0542600265716811E-2"/>
    <n v="1004771.7783053386"/>
    <n v="0.29168900804289544"/>
    <n v="7.0854087502411427E-4"/>
    <n v="1.0534863814937558E-3"/>
  </r>
  <r>
    <x v="12"/>
    <n v="25351462"/>
    <n v="0.20492380952380954"/>
    <n v="11"/>
    <n v="745"/>
    <n v="31565"/>
    <n v="42"/>
    <n v="551"/>
    <n v="491"/>
    <n v="30546580.170038097"/>
    <n v="2.4388982198758218E-2"/>
    <n v="1.607381242898025E-2"/>
    <n v="2776961.8336398271"/>
    <n v="0.10889292196007259"/>
    <n v="1.0333398967836286E-3"/>
    <n v="1.3305876762236654E-3"/>
  </r>
  <r>
    <x v="13"/>
    <n v="6864602"/>
    <n v="0.113425"/>
    <n v="34"/>
    <n v="710"/>
    <n v="6041"/>
    <n v="3"/>
    <n v="636"/>
    <n v="622"/>
    <n v="7643219.4818499992"/>
    <n v="9.2892792322136528E-2"/>
    <n v="8.1379319470942152E-2"/>
    <n v="224800.57299558821"/>
    <n v="2.20125786163522E-2"/>
    <n v="7.9037374425074201E-4"/>
    <n v="4.9660652209899026E-4"/>
  </r>
  <r>
    <x v="14"/>
    <n v="12541302"/>
    <n v="0.24270454545454545"/>
    <n v="2"/>
    <n v="75"/>
    <n v="16877"/>
    <n v="32"/>
    <n v="1347"/>
    <n v="694"/>
    <n v="15585133.001318181"/>
    <n v="4.8122784703638101E-3"/>
    <n v="4.4529616779099793E-2"/>
    <n v="7792566.5006590905"/>
    <n v="0.48478099480326653"/>
    <n v="1.0828909832577337E-3"/>
    <n v="1.8960715767020206E-3"/>
  </r>
  <r>
    <x v="15"/>
    <n v="27389394"/>
    <n v="0.24308636363636363"/>
    <n v="5"/>
    <n v="350"/>
    <n v="4068"/>
    <n v="5"/>
    <n v="556"/>
    <n v="340"/>
    <n v="34047382.189663634"/>
    <n v="1.0279791792810893E-2"/>
    <n v="9.9860834558734395E-3"/>
    <n v="6809476.4379327269"/>
    <n v="0.38848920863309355"/>
    <n v="1.1948055146615632E-4"/>
    <n v="1.2291052114060963E-3"/>
  </r>
  <r>
    <x v="16"/>
    <n v="55415190"/>
    <n v="0.12089285714285714"/>
    <n v="213"/>
    <n v="10195"/>
    <n v="63367"/>
    <n v="45"/>
    <n v="2359"/>
    <n v="2136"/>
    <n v="62114490.648214288"/>
    <n v="0.1641323931599058"/>
    <n v="3.4388111014179379E-2"/>
    <n v="291617.32698692154"/>
    <n v="9.4531581178465454E-2"/>
    <n v="1.0201645274510792E-3"/>
    <n v="7.101488156295864E-4"/>
  </r>
  <r>
    <x v="17"/>
    <n v="30596127"/>
    <n v="3.8846153846153836E-2"/>
    <n v="162"/>
    <n v="4054"/>
    <n v="42275"/>
    <n v="252"/>
    <n v="1120"/>
    <n v="1169"/>
    <n v="31784668.85653846"/>
    <n v="0.1275457680021117"/>
    <n v="3.6778737739138777E-2"/>
    <n v="196201.6596082621"/>
    <n v="-4.3749999999999997E-2"/>
    <n v="1.3300437450146209E-3"/>
    <n v="5.9609698403311649E-3"/>
  </r>
  <r>
    <x v="18"/>
    <n v="64473"/>
    <n v="6.3E-2"/>
    <n v="0"/>
    <n v="0"/>
    <n v="897"/>
    <n v="0"/>
    <n v="8"/>
    <n v="8"/>
    <n v="68534.798999999999"/>
    <n v="0"/>
    <n v="0.1167290211210804"/>
    <n v="68534.798999999999"/>
    <n v="0"/>
    <n v="1.308824149320114E-2"/>
    <n v="0"/>
  </r>
  <r>
    <x v="19"/>
    <n v="72626809"/>
    <n v="0.20242200000000002"/>
    <n v="23"/>
    <n v="690"/>
    <n v="31626"/>
    <n v="15"/>
    <n v="1771"/>
    <n v="1112"/>
    <n v="87328072.931398004"/>
    <n v="7.9012392789434491E-3"/>
    <n v="1.2733591417659586E-2"/>
    <n v="3796872.7361477395"/>
    <n v="0.37210615471485037"/>
    <n v="3.6215158468966014E-4"/>
    <n v="4.7429330297856192E-4"/>
  </r>
  <r>
    <x v="20"/>
    <n v="100887656"/>
    <n v="0.1446290322580645"/>
    <n v="71"/>
    <n v="8836"/>
    <n v="61768"/>
    <n v="164"/>
    <n v="3009"/>
    <n v="2929"/>
    <n v="115478940.05406453"/>
    <n v="7.6516116236113638E-2"/>
    <n v="2.5363932147530199E-2"/>
    <n v="1626463.9444234441"/>
    <n v="2.6586905948820207E-2"/>
    <n v="5.3488540829247028E-4"/>
    <n v="2.6550964900919571E-3"/>
  </r>
  <r>
    <x v="21"/>
    <n v="2855794"/>
    <n v="0.25541111111111114"/>
    <n v="10"/>
    <n v="0"/>
    <n v="3714"/>
    <n v="4"/>
    <n v="238"/>
    <n v="194"/>
    <n v="3585195.5186444442"/>
    <n v="0"/>
    <n v="5.4111414284415661E-2"/>
    <n v="358519.55186444439"/>
    <n v="0.18487394957983194"/>
    <n v="1.0359267662490711E-3"/>
    <n v="1.0770059235325794E-3"/>
  </r>
  <r>
    <x v="22"/>
    <n v="2966889"/>
    <n v="0.30394285714285713"/>
    <n v="10"/>
    <n v="100"/>
    <n v="392"/>
    <n v="0"/>
    <n v="128"/>
    <n v="130"/>
    <n v="3868653.7194857141"/>
    <n v="2.584878545637671E-2"/>
    <n v="3.3603421093289725E-2"/>
    <n v="386865.37194857141"/>
    <n v="-1.5625E-2"/>
    <n v="1.0132723898899671E-4"/>
    <n v="0"/>
  </r>
  <r>
    <x v="23"/>
    <n v="1097206"/>
    <n v="0.2434625"/>
    <n v="2"/>
    <n v="100"/>
    <n v="4354"/>
    <n v="7"/>
    <n v="152"/>
    <n v="59"/>
    <n v="1364334.515775"/>
    <n v="7.3295807475189281E-2"/>
    <n v="4.3244526410361681E-2"/>
    <n v="682167.25788749999"/>
    <n v="0.61184210526315785"/>
    <n v="3.1912994574697416E-3"/>
    <n v="1.6077170418006431E-3"/>
  </r>
  <r>
    <x v="24"/>
    <n v="1978502"/>
    <n v="0.82280909090909093"/>
    <n v="2"/>
    <n v="10"/>
    <n v="5134"/>
    <n v="2"/>
    <n v="108"/>
    <n v="118"/>
    <n v="3606431.4319818178"/>
    <n v="2.7728241028846536E-3"/>
    <n v="3.2719324414038908E-2"/>
    <n v="1803215.7159909089"/>
    <n v="-9.2592592592592587E-2"/>
    <n v="1.423567894420981E-3"/>
    <n v="3.8955979742890534E-4"/>
  </r>
  <r>
    <x v="25"/>
    <n v="41974218"/>
    <n v="0.14249333333333333"/>
    <n v="14"/>
    <n v="903"/>
    <n v="32032"/>
    <n v="5"/>
    <n v="1326"/>
    <n v="917"/>
    <n v="47955264.236880004"/>
    <n v="1.8830049513220027E-2"/>
    <n v="1.9121988265362974E-2"/>
    <n v="3425376.0169200003"/>
    <n v="0.30844645550527905"/>
    <n v="6.6795586490306076E-4"/>
    <n v="1.5609390609390609E-4"/>
  </r>
  <r>
    <x v="26"/>
    <n v="1247953"/>
    <n v="0.34297500000000003"/>
    <n v="0"/>
    <n v="0"/>
    <n v="9625"/>
    <n v="9"/>
    <n v="38"/>
    <n v="46"/>
    <n v="1675969.6801750001"/>
    <n v="0"/>
    <n v="2.7446797244683335E-2"/>
    <n v="1675969.6801750001"/>
    <n v="-0.21052631578947367"/>
    <n v="5.7429439886973275E-3"/>
    <n v="9.3506493506493509E-4"/>
  </r>
  <r>
    <x v="27"/>
    <n v="27743338"/>
    <n v="0.13680500000000001"/>
    <n v="9"/>
    <n v="208"/>
    <n v="66992"/>
    <n v="171"/>
    <n v="593"/>
    <n v="480"/>
    <n v="31538765.355090003"/>
    <n v="6.5950584196356665E-3"/>
    <n v="1.5219365583774616E-2"/>
    <n v="3504307.2616766673"/>
    <n v="0.1905564924114671"/>
    <n v="2.1241161233088108E-3"/>
    <n v="2.5525435872940051E-3"/>
  </r>
  <r>
    <x v="28"/>
    <n v="68548437"/>
    <n v="0.21125454545454547"/>
    <n v="137"/>
    <n v="1391"/>
    <n v="64911"/>
    <n v="144"/>
    <n v="2751"/>
    <n v="2396"/>
    <n v="83029605.900054544"/>
    <n v="1.675306036830275E-2"/>
    <n v="2.8857176594143344E-2"/>
    <n v="606055.51751864632"/>
    <n v="0.12904398400581607"/>
    <n v="7.8178138142839674E-4"/>
    <n v="2.2184221472477698E-3"/>
  </r>
  <r>
    <x v="29"/>
    <n v="610577"/>
    <n v="0.1115"/>
    <n v="1"/>
    <n v="10"/>
    <n v="1332"/>
    <n v="1"/>
    <n v="30"/>
    <n v="24"/>
    <n v="678656.33549999993"/>
    <n v="1.4734998373856632E-2"/>
    <n v="3.5363996097255913E-2"/>
    <n v="678656.33549999993"/>
    <n v="0.2"/>
    <n v="1.9627017833977033E-3"/>
    <n v="7.5075075075075074E-4"/>
  </r>
  <r>
    <x v="30"/>
    <n v="69424740"/>
    <n v="0.14687741935483872"/>
    <n v="293"/>
    <n v="2381"/>
    <n v="37305"/>
    <n v="35"/>
    <n v="3136"/>
    <n v="2780"/>
    <n v="79621666.650580645"/>
    <n v="2.9903920630662113E-2"/>
    <n v="3.4915119425972564E-2"/>
    <n v="271746.30256170867"/>
    <n v="0.11352040816326531"/>
    <n v="4.6852824826831168E-4"/>
    <n v="9.3821203592011791E-4"/>
  </r>
  <r>
    <x v="31"/>
    <n v="3673917"/>
    <n v="0.16752500000000001"/>
    <n v="4"/>
    <n v="60"/>
    <n v="2247"/>
    <n v="0"/>
    <n v="132"/>
    <n v="119"/>
    <n v="4289389.945425"/>
    <n v="1.3988003134104213E-2"/>
    <n v="2.7742872882640022E-2"/>
    <n v="1072347.48635625"/>
    <n v="9.8484848484848481E-2"/>
    <n v="5.2385071737220273E-4"/>
    <n v="0"/>
  </r>
  <r>
    <x v="32"/>
    <n v="194121100"/>
    <n v="0.20016956521739129"/>
    <n v="2316"/>
    <n v="11461"/>
    <n v="99586"/>
    <n v="131"/>
    <n v="4509"/>
    <n v="1344"/>
    <n v="232978236.18652174"/>
    <n v="4.9193436209313365E-2"/>
    <n v="5.7687791872713693E-3"/>
    <n v="100595.09334478487"/>
    <n v="0.70192947438456421"/>
    <n v="4.2744765189256441E-4"/>
    <n v="1.3154459462173399E-3"/>
  </r>
  <r>
    <x v="33"/>
    <n v="10086292"/>
    <n v="0.13057692307692309"/>
    <n v="405"/>
    <n v="2073"/>
    <n v="18093"/>
    <n v="28"/>
    <n v="425"/>
    <n v="241"/>
    <n v="11403328.974615386"/>
    <n v="0.18178902008480541"/>
    <n v="2.1134179373100869E-2"/>
    <n v="28156.367838556507"/>
    <n v="0.43294117647058822"/>
    <n v="1.5866419394087721E-3"/>
    <n v="1.5475598297684187E-3"/>
  </r>
  <r>
    <x v="34"/>
    <n v="82519780"/>
    <n v="0.13508124999999999"/>
    <n v="22"/>
    <n v="1150"/>
    <n v="111825"/>
    <n v="41"/>
    <n v="1268"/>
    <n v="1016"/>
    <n v="93666655.032124996"/>
    <n v="1.2277581596199658E-2"/>
    <n v="1.0846976436294654E-2"/>
    <n v="4257575.2287329547"/>
    <n v="0.19873817034700317"/>
    <n v="1.1938613582565451E-3"/>
    <n v="3.6664431030628214E-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4B9E3B7-5475-44E0-B753-E9F3CB4D6990}" name="PivotTable19"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30:F136" firstHeaderRow="0" firstDataRow="1" firstDataCol="1"/>
  <pivotFields count="16">
    <pivotField axis="axisRow" showAll="0" measureFilter="1">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showAll="0"/>
    <pivotField showAll="0"/>
    <pivotField showAll="0"/>
    <pivotField showAll="0"/>
    <pivotField showAll="0"/>
    <pivotField showAll="0"/>
    <pivotField showAll="0"/>
    <pivotField showAll="0"/>
    <pivotField numFmtId="2" showAll="0"/>
    <pivotField dataField="1" numFmtId="2" showAll="0"/>
    <pivotField dataField="1" numFmtId="2" showAll="0"/>
    <pivotField numFmtId="1" showAll="0"/>
    <pivotField dataField="1" numFmtId="2" showAll="0"/>
    <pivotField dataField="1" numFmtId="2" showAll="0"/>
    <pivotField numFmtId="2" showAll="0"/>
  </pivotFields>
  <rowFields count="1">
    <field x="0"/>
  </rowFields>
  <rowItems count="6">
    <i>
      <x v="5"/>
    </i>
    <i>
      <x v="6"/>
    </i>
    <i>
      <x v="14"/>
    </i>
    <i>
      <x v="23"/>
    </i>
    <i>
      <x v="32"/>
    </i>
    <i t="grand">
      <x/>
    </i>
  </rowItems>
  <colFields count="1">
    <field x="-2"/>
  </colFields>
  <colItems count="4">
    <i>
      <x/>
    </i>
    <i i="1">
      <x v="1"/>
    </i>
    <i i="2">
      <x v="2"/>
    </i>
    <i i="3">
      <x v="3"/>
    </i>
  </colItems>
  <dataFields count="4">
    <dataField name="Sum of Beds_per_1000" fld="10" baseField="0" baseItem="0"/>
    <dataField name="Sum of Doctors_per_1000" fld="11" baseField="0" baseItem="0"/>
    <dataField name="Sum of Dengue_Case_Rate" fld="14" baseField="0" baseItem="0"/>
    <dataField name="Sum of Doctor Shortage %" fld="13" baseField="0" baseItem="0"/>
  </dataFields>
  <formats count="4">
    <format dxfId="20">
      <pivotArea collapsedLevelsAreSubtotals="1" fieldPosition="0">
        <references count="2">
          <reference field="4294967294" count="1" selected="0">
            <x v="3"/>
          </reference>
          <reference field="0" count="0"/>
        </references>
      </pivotArea>
    </format>
    <format dxfId="19">
      <pivotArea collapsedLevelsAreSubtotals="1" fieldPosition="0">
        <references count="2">
          <reference field="4294967294" count="1" selected="0">
            <x v="2"/>
          </reference>
          <reference field="0" count="0"/>
        </references>
      </pivotArea>
    </format>
    <format dxfId="18">
      <pivotArea collapsedLevelsAreSubtotals="1" fieldPosition="0">
        <references count="2">
          <reference field="4294967294" count="1" selected="0">
            <x v="1"/>
          </reference>
          <reference field="0" count="0"/>
        </references>
      </pivotArea>
    </format>
    <format dxfId="17">
      <pivotArea collapsedLevelsAreSubtotals="1" fieldPosition="0">
        <references count="2">
          <reference field="4294967294" count="1" selected="0">
            <x v="0"/>
          </reference>
          <reference field="0" count="0"/>
        </references>
      </pivotArea>
    </format>
  </formats>
  <conditionalFormats count="4">
    <conditionalFormat priority="6">
      <pivotAreas count="1">
        <pivotArea type="data" collapsedLevelsAreSubtotals="1" fieldPosition="0">
          <references count="2">
            <reference field="4294967294" count="1" selected="0">
              <x v="3"/>
            </reference>
            <reference field="0" count="35">
              <x v="0"/>
              <x v="1"/>
              <x v="2"/>
              <x v="3"/>
              <x v="4"/>
              <x v="5"/>
              <x v="6"/>
              <x v="7"/>
              <x v="8"/>
              <x v="9"/>
              <x v="10"/>
              <x v="11"/>
              <x v="12"/>
              <x v="13"/>
              <x v="14"/>
              <x v="15"/>
              <x v="16"/>
              <x v="17"/>
              <x v="18"/>
              <x v="19"/>
              <x v="20"/>
              <x v="21"/>
              <x v="22"/>
              <x v="23"/>
              <x v="24"/>
              <x v="25"/>
              <x v="26"/>
              <x v="27"/>
              <x v="28"/>
              <x v="29"/>
              <x v="30"/>
              <x v="31"/>
              <x v="32"/>
              <x v="33"/>
              <x v="34"/>
            </reference>
          </references>
        </pivotArea>
      </pivotAreas>
    </conditionalFormat>
    <conditionalFormat priority="7">
      <pivotAreas count="1">
        <pivotArea type="data" collapsedLevelsAreSubtotals="1" fieldPosition="0">
          <references count="2">
            <reference field="4294967294" count="1" selected="0">
              <x v="2"/>
            </reference>
            <reference field="0" count="35">
              <x v="0"/>
              <x v="1"/>
              <x v="2"/>
              <x v="3"/>
              <x v="4"/>
              <x v="5"/>
              <x v="6"/>
              <x v="7"/>
              <x v="8"/>
              <x v="9"/>
              <x v="10"/>
              <x v="11"/>
              <x v="12"/>
              <x v="13"/>
              <x v="14"/>
              <x v="15"/>
              <x v="16"/>
              <x v="17"/>
              <x v="18"/>
              <x v="19"/>
              <x v="20"/>
              <x v="21"/>
              <x v="22"/>
              <x v="23"/>
              <x v="24"/>
              <x v="25"/>
              <x v="26"/>
              <x v="27"/>
              <x v="28"/>
              <x v="29"/>
              <x v="30"/>
              <x v="31"/>
              <x v="32"/>
              <x v="33"/>
              <x v="34"/>
            </reference>
          </references>
        </pivotArea>
      </pivotAreas>
    </conditionalFormat>
    <conditionalFormat priority="8">
      <pivotAreas count="1">
        <pivotArea type="data" collapsedLevelsAreSubtotals="1" fieldPosition="0">
          <references count="2">
            <reference field="4294967294" count="1" selected="0">
              <x v="1"/>
            </reference>
            <reference field="0" count="35">
              <x v="0"/>
              <x v="1"/>
              <x v="2"/>
              <x v="3"/>
              <x v="4"/>
              <x v="5"/>
              <x v="6"/>
              <x v="7"/>
              <x v="8"/>
              <x v="9"/>
              <x v="10"/>
              <x v="11"/>
              <x v="12"/>
              <x v="13"/>
              <x v="14"/>
              <x v="15"/>
              <x v="16"/>
              <x v="17"/>
              <x v="18"/>
              <x v="19"/>
              <x v="20"/>
              <x v="21"/>
              <x v="22"/>
              <x v="23"/>
              <x v="24"/>
              <x v="25"/>
              <x v="26"/>
              <x v="27"/>
              <x v="28"/>
              <x v="29"/>
              <x v="30"/>
              <x v="31"/>
              <x v="32"/>
              <x v="33"/>
              <x v="34"/>
            </reference>
          </references>
        </pivotArea>
      </pivotAreas>
    </conditionalFormat>
    <conditionalFormat priority="9">
      <pivotAreas count="1">
        <pivotArea type="data" collapsedLevelsAreSubtotals="1" fieldPosition="0">
          <references count="2">
            <reference field="4294967294" count="1" selected="0">
              <x v="0"/>
            </reference>
            <reference field="0" count="35">
              <x v="0"/>
              <x v="1"/>
              <x v="2"/>
              <x v="3"/>
              <x v="4"/>
              <x v="5"/>
              <x v="6"/>
              <x v="7"/>
              <x v="8"/>
              <x v="9"/>
              <x v="10"/>
              <x v="11"/>
              <x v="12"/>
              <x v="13"/>
              <x v="14"/>
              <x v="15"/>
              <x v="16"/>
              <x v="17"/>
              <x v="18"/>
              <x v="19"/>
              <x v="20"/>
              <x v="21"/>
              <x v="22"/>
              <x v="23"/>
              <x v="24"/>
              <x v="25"/>
              <x v="26"/>
              <x v="27"/>
              <x v="28"/>
              <x v="29"/>
              <x v="30"/>
              <x v="31"/>
              <x v="32"/>
              <x v="33"/>
              <x v="34"/>
            </reference>
          </references>
        </pivotArea>
      </pivotAreas>
    </conditionalFormat>
  </conditionalFormats>
  <pivotTableStyleInfo name="PivotStyleLight16" showRowHeaders="1" showColHeaders="1" showRowStripes="0" showColStripes="0" showLastColumn="1"/>
  <filters count="1">
    <filter fld="0" type="count" evalOrder="-1" id="4" iMeasureFld="3">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B41AAFC-E864-45E0-A648-2BCF36B99EAC}" name="PivotTable1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C60:D61" firstHeaderRow="0" firstDataRow="1" firstDataCol="0" rowPageCount="1" colPageCount="1"/>
  <pivotFields count="16">
    <pivotField axis="axisPage" multipleItemSelectionAllowed="1" showAll="0">
      <items count="36">
        <item h="1" x="0"/>
        <item h="1" x="1"/>
        <item h="1" x="2"/>
        <item h="1" x="3"/>
        <item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t="default"/>
      </items>
    </pivotField>
    <pivotField showAll="0"/>
    <pivotField showAll="0"/>
    <pivotField showAll="0"/>
    <pivotField showAll="0"/>
    <pivotField dataField="1" showAll="0"/>
    <pivotField dataField="1" showAll="0"/>
    <pivotField showAll="0"/>
    <pivotField showAll="0"/>
    <pivotField numFmtId="2" showAll="0"/>
    <pivotField numFmtId="2" showAll="0"/>
    <pivotField numFmtId="2" showAll="0"/>
    <pivotField numFmtId="1" showAll="0"/>
    <pivotField numFmtId="2" showAll="0"/>
    <pivotField numFmtId="2" showAll="0"/>
    <pivotField numFmtId="2" showAll="0"/>
  </pivotFields>
  <rowItems count="1">
    <i/>
  </rowItems>
  <colFields count="1">
    <field x="-2"/>
  </colFields>
  <colItems count="2">
    <i>
      <x/>
    </i>
    <i i="1">
      <x v="1"/>
    </i>
  </colItems>
  <pageFields count="1">
    <pageField fld="0" hier="-1"/>
  </pageFields>
  <dataFields count="2">
    <dataField name="Sum of Dengue_Cases_2019_to_2024" fld="5" baseField="0" baseItem="0"/>
    <dataField name="Sum of Dengue_Deaths_2019 to 2024" fld="6" baseField="0" baseItem="0"/>
  </dataFields>
  <chartFormats count="5">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 chart="7" format="6">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98942C2-C0CD-4AD1-B81F-CBE5950B91FA}" name="PivotTable10"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B85:C86" firstHeaderRow="0" firstDataRow="1" firstDataCol="0"/>
  <pivotFields count="16">
    <pivotField showAll="0">
      <items count="36">
        <item h="1" x="0"/>
        <item h="1" x="1"/>
        <item h="1" x="2"/>
        <item h="1" x="3"/>
        <item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t="default"/>
      </items>
    </pivotField>
    <pivotField showAll="0"/>
    <pivotField showAll="0"/>
    <pivotField showAll="0"/>
    <pivotField showAll="0"/>
    <pivotField showAll="0"/>
    <pivotField showAll="0"/>
    <pivotField dataField="1" showAll="0"/>
    <pivotField dataField="1" showAll="0"/>
    <pivotField numFmtId="2" showAll="0"/>
    <pivotField numFmtId="2" showAll="0"/>
    <pivotField numFmtId="2" showAll="0"/>
    <pivotField numFmtId="1" showAll="0"/>
    <pivotField numFmtId="2" showAll="0"/>
    <pivotField numFmtId="2" showAll="0"/>
    <pivotField numFmtId="2" showAll="0"/>
  </pivotFields>
  <rowItems count="1">
    <i/>
  </rowItems>
  <colFields count="1">
    <field x="-2"/>
  </colFields>
  <colItems count="2">
    <i>
      <x/>
    </i>
    <i i="1">
      <x v="1"/>
    </i>
  </colItems>
  <dataFields count="2">
    <dataField name="Sum of Docotrs_in_Position" fld="8" baseField="0" baseItem="0"/>
    <dataField name="Sum of Doctors_Senctioned" fld="7" baseField="0" baseItem="0"/>
  </dataFields>
  <formats count="3">
    <format dxfId="23">
      <pivotArea type="all" dataOnly="0" outline="0" fieldPosition="0"/>
    </format>
    <format dxfId="22">
      <pivotArea outline="0" collapsedLevelsAreSubtotals="1" fieldPosition="0"/>
    </format>
    <format dxfId="21">
      <pivotArea dataOnly="0" labelOnly="1" outline="0" fieldPosition="0">
        <references count="1">
          <reference field="4294967294" count="2">
            <x v="0"/>
            <x v="1"/>
          </reference>
        </references>
      </pivotArea>
    </format>
  </formats>
  <chartFormats count="4">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8FA36B5-4A0A-4529-A2D3-18427FECE688}" name="PivotTable9"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C17:F23" firstHeaderRow="0" firstDataRow="1" firstDataCol="1"/>
  <pivotFields count="16">
    <pivotField axis="axisRow" multipleItemSelectionAllowed="1" showAll="0" measureFilter="1">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showAll="0"/>
    <pivotField showAll="0"/>
    <pivotField dataField="1" showAll="0"/>
    <pivotField dataField="1" showAll="0"/>
    <pivotField showAll="0"/>
    <pivotField showAll="0"/>
    <pivotField showAll="0"/>
    <pivotField showAll="0"/>
    <pivotField dataField="1" numFmtId="2" showAll="0"/>
    <pivotField numFmtId="2" showAll="0"/>
    <pivotField numFmtId="2" showAll="0"/>
    <pivotField numFmtId="1" showAll="0"/>
    <pivotField numFmtId="2" showAll="0"/>
    <pivotField numFmtId="2" showAll="0"/>
    <pivotField numFmtId="2" showAll="0"/>
  </pivotFields>
  <rowFields count="1">
    <field x="0"/>
  </rowFields>
  <rowItems count="6">
    <i>
      <x v="16"/>
    </i>
    <i>
      <x v="17"/>
    </i>
    <i>
      <x v="30"/>
    </i>
    <i>
      <x v="32"/>
    </i>
    <i>
      <x v="33"/>
    </i>
    <i t="grand">
      <x/>
    </i>
  </rowItems>
  <colFields count="1">
    <field x="-2"/>
  </colFields>
  <colItems count="3">
    <i>
      <x/>
    </i>
    <i i="1">
      <x v="1"/>
    </i>
    <i i="2">
      <x v="2"/>
    </i>
  </colItems>
  <dataFields count="3">
    <dataField name="Sum of Projected_Population" fld="9" baseField="0" baseItem="0"/>
    <dataField name="Sum of Hospitals_Count" fld="3" baseField="0" baseItem="0"/>
    <dataField name="Sum of Hospitals_Beds_Count" fld="4" baseField="0" baseItem="0"/>
  </dataFields>
  <chartFormats count="10">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2"/>
          </reference>
        </references>
      </pivotArea>
    </chartFormat>
    <chartFormat chart="12" format="5" series="1">
      <pivotArea type="data" outline="0" fieldPosition="0">
        <references count="1">
          <reference field="4294967294" count="1" selected="0">
            <x v="0"/>
          </reference>
        </references>
      </pivotArea>
    </chartFormat>
    <chartFormat chart="12" format="6" series="1">
      <pivotArea type="data" outline="0" fieldPosition="0">
        <references count="1">
          <reference field="4294967294" count="1" selected="0">
            <x v="1"/>
          </reference>
        </references>
      </pivotArea>
    </chartFormat>
    <chartFormat chart="12" format="7" series="1">
      <pivotArea type="data" outline="0" fieldPosition="0">
        <references count="1">
          <reference field="4294967294" count="1" selected="0">
            <x v="2"/>
          </reference>
        </references>
      </pivotArea>
    </chartFormat>
    <chartFormat chart="21" format="8" series="1">
      <pivotArea type="data" outline="0" fieldPosition="0">
        <references count="1">
          <reference field="4294967294" count="1" selected="0">
            <x v="0"/>
          </reference>
        </references>
      </pivotArea>
    </chartFormat>
    <chartFormat chart="21" format="9" series="1">
      <pivotArea type="data" outline="0" fieldPosition="0">
        <references count="1">
          <reference field="4294967294" count="1" selected="0">
            <x v="1"/>
          </reference>
        </references>
      </pivotArea>
    </chartFormat>
    <chartFormat chart="21" format="10"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filters count="1">
    <filter fld="0" type="count" evalOrder="-1" id="4" iMeasureFld="1">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0915EB8-CA61-4D7F-AB0F-014B5BDB9775}"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G5" firstHeaderRow="0" firstDataRow="1" firstDataCol="0"/>
  <pivotFields count="16">
    <pivotField showAll="0">
      <items count="36">
        <item h="1" x="0"/>
        <item h="1" x="1"/>
        <item h="1" x="2"/>
        <item h="1" x="3"/>
        <item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t="default"/>
      </items>
    </pivotField>
    <pivotField showAll="0"/>
    <pivotField showAll="0"/>
    <pivotField showAll="0"/>
    <pivotField showAll="0"/>
    <pivotField dataField="1" showAll="0"/>
    <pivotField dataField="1" showAll="0"/>
    <pivotField showAll="0"/>
    <pivotField showAll="0"/>
    <pivotField showAll="0"/>
    <pivotField dataField="1" showAll="0"/>
    <pivotField dataField="1" showAll="0"/>
    <pivotField dataField="1" showAll="0"/>
    <pivotField dataField="1" numFmtId="10" showAll="0"/>
    <pivotField numFmtId="2" showAll="0"/>
    <pivotField numFmtId="2" showAll="0"/>
  </pivotFields>
  <rowItems count="1">
    <i/>
  </rowItems>
  <colFields count="1">
    <field x="-2"/>
  </colFields>
  <colItems count="6">
    <i>
      <x/>
    </i>
    <i i="1">
      <x v="1"/>
    </i>
    <i i="2">
      <x v="2"/>
    </i>
    <i i="3">
      <x v="3"/>
    </i>
    <i i="4">
      <x v="4"/>
    </i>
    <i i="5">
      <x v="5"/>
    </i>
  </colItems>
  <dataFields count="6">
    <dataField name="Average of Beds_per_1000" fld="10" subtotal="average" baseField="0" baseItem="0"/>
    <dataField name="Sum of Dengue_Cases_2019_to_2024" fld="5" baseField="0" baseItem="0"/>
    <dataField name="Average of Doctors_per_1000" fld="11" subtotal="average" baseField="0" baseItem="1"/>
    <dataField name="Average of Population_per_hospital" fld="12" subtotal="average" baseField="0" baseItem="3"/>
    <dataField name="Sum of Dengue_Deaths_2019 to 2024" fld="6" baseField="0" baseItem="0"/>
    <dataField name="Average of Doctor Shortage %" fld="13" subtotal="average" baseField="0" baseItem="1"/>
  </dataFields>
  <formats count="6">
    <format dxfId="29">
      <pivotArea type="all" dataOnly="0" outline="0" fieldPosition="0"/>
    </format>
    <format dxfId="28">
      <pivotArea outline="0" collapsedLevelsAreSubtotals="1" fieldPosition="0"/>
    </format>
    <format dxfId="27">
      <pivotArea dataOnly="0" labelOnly="1" outline="0" fieldPosition="0">
        <references count="1">
          <reference field="4294967294" count="4">
            <x v="0"/>
            <x v="2"/>
            <x v="3"/>
            <x v="5"/>
          </reference>
        </references>
      </pivotArea>
    </format>
    <format dxfId="26">
      <pivotArea type="all" dataOnly="0" outline="0" fieldPosition="0"/>
    </format>
    <format dxfId="25">
      <pivotArea outline="0" collapsedLevelsAreSubtotals="1" fieldPosition="0"/>
    </format>
    <format dxfId="24">
      <pivotArea dataOnly="0" labelOnly="1" outline="0" fieldPosition="0">
        <references count="1">
          <reference field="4294967294" count="4">
            <x v="0"/>
            <x v="2"/>
            <x v="3"/>
            <x v="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68F8D3B-92BC-4608-9CF5-069878C2E824}" name="PivotTable8"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C4" firstHeaderRow="0" firstDataRow="1" firstDataCol="0" rowPageCount="1" colPageCount="1"/>
  <pivotFields count="16">
    <pivotField axis="axisPage" multipleItemSelectionAllowed="1" showAll="0">
      <items count="36">
        <item h="1" x="0"/>
        <item h="1" x="1"/>
        <item h="1" x="2"/>
        <item h="1" x="3"/>
        <item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t="default"/>
      </items>
    </pivotField>
    <pivotField showAll="0"/>
    <pivotField showAll="0"/>
    <pivotField dataField="1" showAll="0"/>
    <pivotField dataField="1" showAll="0"/>
    <pivotField showAll="0"/>
    <pivotField showAll="0"/>
    <pivotField showAll="0"/>
    <pivotField showAll="0"/>
    <pivotField dataField="1" numFmtId="2" showAll="0"/>
    <pivotField numFmtId="2" showAll="0"/>
    <pivotField numFmtId="2" showAll="0"/>
    <pivotField numFmtId="1" showAll="0"/>
    <pivotField numFmtId="2" showAll="0"/>
    <pivotField numFmtId="2" showAll="0"/>
    <pivotField numFmtId="2" showAll="0"/>
  </pivotFields>
  <rowItems count="1">
    <i/>
  </rowItems>
  <colFields count="1">
    <field x="-2"/>
  </colFields>
  <colItems count="3">
    <i>
      <x/>
    </i>
    <i i="1">
      <x v="1"/>
    </i>
    <i i="2">
      <x v="2"/>
    </i>
  </colItems>
  <pageFields count="1">
    <pageField fld="0" hier="-1"/>
  </pageFields>
  <dataFields count="3">
    <dataField name="Sum of Projected_Population" fld="9" baseField="0" baseItem="0"/>
    <dataField name="Sum of Hospitals_Count" fld="3" baseField="0" baseItem="0"/>
    <dataField name="Sum of Hospitals_Beds_C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F8DC527-88B5-4F6E-950B-6B957007FC9E}" name="PivotTable18"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9" firstHeaderRow="0" firstDataRow="1" firstDataCol="1"/>
  <pivotFields count="16">
    <pivotField axis="axisRow" showAll="0" measureFilter="1">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showAll="0"/>
    <pivotField showAll="0"/>
    <pivotField showAll="0"/>
    <pivotField showAll="0"/>
    <pivotField showAll="0"/>
    <pivotField showAll="0"/>
    <pivotField showAll="0"/>
    <pivotField showAll="0"/>
    <pivotField numFmtId="2" showAll="0"/>
    <pivotField dataField="1" numFmtId="2" showAll="0"/>
    <pivotField dataField="1" numFmtId="2" showAll="0"/>
    <pivotField numFmtId="1" showAll="0"/>
    <pivotField dataField="1" numFmtId="2" showAll="0"/>
    <pivotField dataField="1" numFmtId="2" showAll="0"/>
    <pivotField numFmtId="2" showAll="0"/>
  </pivotFields>
  <rowFields count="1">
    <field x="0"/>
  </rowFields>
  <rowItems count="6">
    <i>
      <x v="5"/>
    </i>
    <i>
      <x v="6"/>
    </i>
    <i>
      <x v="14"/>
    </i>
    <i>
      <x v="23"/>
    </i>
    <i>
      <x v="32"/>
    </i>
    <i t="grand">
      <x/>
    </i>
  </rowItems>
  <colFields count="1">
    <field x="-2"/>
  </colFields>
  <colItems count="4">
    <i>
      <x/>
    </i>
    <i i="1">
      <x v="1"/>
    </i>
    <i i="2">
      <x v="2"/>
    </i>
    <i i="3">
      <x v="3"/>
    </i>
  </colItems>
  <dataFields count="4">
    <dataField name="Sum of Beds_per_1000" fld="10" baseField="0" baseItem="0"/>
    <dataField name="Sum of Doctors_per_1000" fld="11" baseField="0" baseItem="0"/>
    <dataField name="Sum of Dengue_Case_Rate" fld="14" baseField="0" baseItem="0"/>
    <dataField name="Sum of Doctor Shortage %" fld="13" baseField="0" baseItem="0"/>
  </dataFields>
  <formats count="4">
    <format dxfId="13">
      <pivotArea collapsedLevelsAreSubtotals="1" fieldPosition="0">
        <references count="2">
          <reference field="4294967294" count="1" selected="0">
            <x v="3"/>
          </reference>
          <reference field="0" count="0"/>
        </references>
      </pivotArea>
    </format>
    <format dxfId="12">
      <pivotArea collapsedLevelsAreSubtotals="1" fieldPosition="0">
        <references count="2">
          <reference field="4294967294" count="1" selected="0">
            <x v="2"/>
          </reference>
          <reference field="0" count="0"/>
        </references>
      </pivotArea>
    </format>
    <format dxfId="11">
      <pivotArea collapsedLevelsAreSubtotals="1" fieldPosition="0">
        <references count="2">
          <reference field="4294967294" count="1" selected="0">
            <x v="1"/>
          </reference>
          <reference field="0" count="0"/>
        </references>
      </pivotArea>
    </format>
    <format dxfId="10">
      <pivotArea collapsedLevelsAreSubtotals="1" fieldPosition="0">
        <references count="2">
          <reference field="4294967294" count="1" selected="0">
            <x v="0"/>
          </reference>
          <reference field="0" count="0"/>
        </references>
      </pivotArea>
    </format>
  </formats>
  <pivotTableStyleInfo name="PivotStyleLight16" showRowHeaders="1" showColHeaders="1" showRowStripes="0" showColStripes="0" showLastColumn="1"/>
  <filters count="1">
    <filter fld="0" type="count" evalOrder="-1" id="1" iMeasureFld="3">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5" connectionId="7" xr16:uid="{11825A99-3BC8-4E7D-9B7A-68BD7C3032A3}" autoFormatId="16" applyNumberFormats="0" applyBorderFormats="0" applyFontFormats="0" applyPatternFormats="0" applyAlignmentFormats="0" applyWidthHeightFormats="0">
  <queryTableRefresh nextId="18" unboundColumnsRight="3">
    <queryTableFields count="16">
      <queryTableField id="1" name="States" tableColumnId="1"/>
      <queryTableField id="2" name="Population" tableColumnId="2"/>
      <queryTableField id="3" name="Average_growth" tableColumnId="3"/>
      <queryTableField id="4" name="Hospitals_Count" tableColumnId="4"/>
      <queryTableField id="5" name="Hospitals_Beds_Count" tableColumnId="5"/>
      <queryTableField id="6" name="Dengue_Cases_2019_to_2024" tableColumnId="6"/>
      <queryTableField id="7" name="Dengue_Deaths_2019 to 2024" tableColumnId="7"/>
      <queryTableField id="8" name="Doctors_Senctioned" tableColumnId="8"/>
      <queryTableField id="9" name="Docotrs_in_Position" tableColumnId="9"/>
      <queryTableField id="10" name="Projected_Population" tableColumnId="10"/>
      <queryTableField id="11" name="Beds_per_1000" tableColumnId="11"/>
      <queryTableField id="12" name="Doctors_per_1000" tableColumnId="12"/>
      <queryTableField id="13" name="Population_per_hospital" tableColumnId="13"/>
      <queryTableField id="14" dataBound="0" tableColumnId="14"/>
      <queryTableField id="15" dataBound="0" tableColumnId="15"/>
      <queryTableField id="16" dataBound="0" tableColumnId="1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7" connectionId="4" xr16:uid="{F2115C29-37FC-4EC3-8615-459C47A09978}" autoFormatId="16" applyNumberFormats="0" applyBorderFormats="0" applyFontFormats="0" applyPatternFormats="0" applyAlignmentFormats="0" applyWidthHeightFormats="0">
  <queryTableRefresh nextId="8">
    <queryTableFields count="3">
      <queryTableField id="5" name="States" tableColumnId="5"/>
      <queryTableField id="6" name="Doctors_Senctioned" tableColumnId="6"/>
      <queryTableField id="7" name="Docotrs_in_Position" tableColumnId="7"/>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6" connectionId="2" xr16:uid="{740EDAF6-2E7B-4263-8C58-5E0993EBF5BA}" autoFormatId="16" applyNumberFormats="0" applyBorderFormats="0" applyFontFormats="0" applyPatternFormats="0" applyAlignmentFormats="0" applyWidthHeightFormats="0">
  <queryTableRefresh nextId="4">
    <queryTableFields count="3">
      <queryTableField id="1" name="States" tableColumnId="1"/>
      <queryTableField id="2" name="Total_Dengue_Cases 2019 to 2024" tableColumnId="2"/>
      <queryTableField id="3" name="Total_Dengue_Death_2019 to 2024" tableColumnId="3"/>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5" connectionId="1" xr16:uid="{D35BB141-C492-4275-AA26-E9D27705DAEF}" autoFormatId="16" applyNumberFormats="0" applyBorderFormats="0" applyFontFormats="0" applyPatternFormats="0" applyAlignmentFormats="0" applyWidthHeightFormats="0">
  <queryTableRefresh nextId="4">
    <queryTableFields count="3">
      <queryTableField id="1" name="States" tableColumnId="1"/>
      <queryTableField id="2" name="Total_Dengue_Cases 2019 to 2024" tableColumnId="2"/>
      <queryTableField id="3" name="Total_Dengue_Death_2019 to 2024" tableColumnId="3"/>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4" connectionId="6" xr16:uid="{C6CFEDA9-5A2B-4A3D-A0BD-B0FF7CFCC54D}" autoFormatId="16" applyNumberFormats="0" applyBorderFormats="0" applyFontFormats="0" applyPatternFormats="0" applyAlignmentFormats="0" applyWidthHeightFormats="0">
  <queryTableRefresh nextId="18">
    <queryTableFields count="9">
      <queryTableField id="1" name="States" tableColumnId="1"/>
      <queryTableField id="10" name="Population" tableColumnId="10"/>
      <queryTableField id="3" name="Average_growth" tableColumnId="3"/>
      <queryTableField id="11" name="Hospitals_Count" tableColumnId="11"/>
      <queryTableField id="12" name="Hospitals_Beds_Count" tableColumnId="12"/>
      <queryTableField id="13" name="Dengue_Cases_2019_to_2024" tableColumnId="13"/>
      <queryTableField id="14" name="Dengue_Deaths_2019 to 2024" tableColumnId="14"/>
      <queryTableField id="15" name="Doctors_Senctioned" tableColumnId="15"/>
      <queryTableField id="16" name="Docotrs_in_Position" tableColumnId="16"/>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3" connectionId="10" xr16:uid="{B5F3F345-BC52-49D7-B16A-9133C36ECB56}" autoFormatId="16" applyNumberFormats="0" applyBorderFormats="0" applyFontFormats="0" applyPatternFormats="0" applyAlignmentFormats="0" applyWidthHeightFormats="0">
  <queryTableRefresh nextId="4">
    <queryTableFields count="3">
      <queryTableField id="1" name="State" tableColumnId="1"/>
      <queryTableField id="2" name="State_Population" tableColumnId="2"/>
      <queryTableField id="3" name="Average_growth" tableColumnId="3"/>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3" connectionId="11" xr16:uid="{92F7DF9D-847A-41E6-AF67-351B4E5F53A8}" autoFormatId="16" applyNumberFormats="0" applyBorderFormats="0" applyFontFormats="0" applyPatternFormats="0" applyAlignmentFormats="0" applyWidthHeightFormats="0">
  <queryTableRefresh nextId="3">
    <queryTableFields count="2">
      <queryTableField id="1" name="State_Varient" tableColumnId="1"/>
      <queryTableField id="2" name="State_Standerd" tableColumnId="2"/>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2" connectionId="9" xr16:uid="{5D63ED88-4277-4884-A9EA-815902FF0603}" autoFormatId="16" applyNumberFormats="0" applyBorderFormats="0" applyFontFormats="0" applyPatternFormats="0" applyAlignmentFormats="0" applyWidthHeightFormats="0">
  <queryTableRefresh nextId="3">
    <queryTableFields count="2">
      <queryTableField id="1" name="State_Varient" tableColumnId="1"/>
      <queryTableField id="2" name="State_Standerd" tableColumnId="2"/>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1" connectionId="5" xr16:uid="{41F99384-96C0-407A-87C3-FCC67A3D3933}" autoFormatId="16" applyNumberFormats="0" applyBorderFormats="0" applyFontFormats="0" applyPatternFormats="0" applyAlignmentFormats="0" applyWidthHeightFormats="0">
  <queryTableRefresh nextId="4">
    <queryTableFields count="3">
      <queryTableField id="1" name="States" tableColumnId="1"/>
      <queryTableField id="2" name="Hospitals" tableColumnId="2"/>
      <queryTableField id="3" name="Beds" tableColumnId="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s" xr10:uid="{5E589225-72CD-449D-A272-3FB19CBAD809}" sourceName="States">
  <pivotTables>
    <pivotTable tabId="27" name="PivotTable1"/>
    <pivotTable tabId="29" name="PivotTable8"/>
    <pivotTable tabId="27" name="PivotTable10"/>
    <pivotTable tabId="27" name="PivotTable13"/>
  </pivotTables>
  <data>
    <tabular pivotCacheId="1494413329">
      <items count="35">
        <i x="0"/>
        <i x="1"/>
        <i x="2"/>
        <i x="3"/>
        <i x="4" s="1"/>
        <i x="5"/>
        <i x="6"/>
        <i x="7"/>
        <i x="8"/>
        <i x="9"/>
        <i x="10"/>
        <i x="11"/>
        <i x="12"/>
        <i x="13"/>
        <i x="14"/>
        <i x="15"/>
        <i x="16"/>
        <i x="17"/>
        <i x="18"/>
        <i x="19"/>
        <i x="20"/>
        <i x="21"/>
        <i x="22"/>
        <i x="23"/>
        <i x="24"/>
        <i x="25"/>
        <i x="26"/>
        <i x="27"/>
        <i x="28"/>
        <i x="29"/>
        <i x="30"/>
        <i x="31"/>
        <i x="32"/>
        <i x="33"/>
        <i x="34"/>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s" xr10:uid="{12946E50-00BB-498C-B859-71F2B17E07BC}" cache="Slicer_States" caption="States" startItem="28"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s 1" xr10:uid="{B7A79F0E-F1CE-4BB5-ADF7-3F35CB6C3682}" cache="Slicer_States" caption="Select State" style="Dashboard_Slicer"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8F2F2780-7EDB-4274-8099-CAD594DF7FA2}" name="Population__2_1" displayName="Population__2_1" ref="A1:P36" tableType="queryTable" totalsRowShown="0" headerRowDxfId="47" dataDxfId="46">
  <autoFilter ref="A1:P36" xr:uid="{8F2F2780-7EDB-4274-8099-CAD594DF7FA2}"/>
  <tableColumns count="16">
    <tableColumn id="1" xr3:uid="{8B370A5D-42A5-420C-A105-F2FEB1F84878}" uniqueName="1" name="States" queryTableFieldId="1" dataDxfId="45"/>
    <tableColumn id="2" xr3:uid="{064DE2E1-C777-4B7C-9D2B-24C35F212069}" uniqueName="2" name="Population" queryTableFieldId="2" dataDxfId="44"/>
    <tableColumn id="3" xr3:uid="{4810DDC2-42B1-46ED-9E98-BD1A9691D2B3}" uniqueName="3" name="Average_growth" queryTableFieldId="3" dataDxfId="43"/>
    <tableColumn id="4" xr3:uid="{203EFC62-AAEB-45BA-B6AD-4CEB69E5A91C}" uniqueName="4" name="Hospitals_Count" queryTableFieldId="4" dataDxfId="42"/>
    <tableColumn id="5" xr3:uid="{FE8852BF-9F92-43DA-8B25-E036943EC26E}" uniqueName="5" name="Hospitals_Beds_Count" queryTableFieldId="5" dataDxfId="41"/>
    <tableColumn id="6" xr3:uid="{11BD7892-9392-4495-8C70-87604C2390F2}" uniqueName="6" name="Dengue_Cases_2019_to_2024" queryTableFieldId="6" dataDxfId="40"/>
    <tableColumn id="7" xr3:uid="{A6715D8B-8B5E-4B62-B9EE-7AF91E4450F6}" uniqueName="7" name="Dengue_Deaths_2019 to 2024" queryTableFieldId="7" dataDxfId="39"/>
    <tableColumn id="8" xr3:uid="{80A996F4-857F-4F47-9200-1A27A5E2D432}" uniqueName="8" name="Doctors_Senctioned" queryTableFieldId="8" dataDxfId="38"/>
    <tableColumn id="9" xr3:uid="{D609BB00-B687-4FEF-9143-2CF39B43B9D7}" uniqueName="9" name="Docotrs_in_Position" queryTableFieldId="9" dataDxfId="37"/>
    <tableColumn id="10" xr3:uid="{8CB780F0-FDBC-4CE5-B496-74C4C4FF0A31}" uniqueName="10" name="Projected_Population" queryTableFieldId="10" dataDxfId="36"/>
    <tableColumn id="11" xr3:uid="{D994792F-B92E-4670-AF17-59236E5E1CE8}" uniqueName="11" name="Beds_per_1000" queryTableFieldId="11" dataDxfId="35"/>
    <tableColumn id="12" xr3:uid="{07F74F00-701A-45AF-BB45-9A2E5A88084E}" uniqueName="12" name="Doctors_per_1000" queryTableFieldId="12" dataDxfId="34"/>
    <tableColumn id="13" xr3:uid="{4D406144-D580-41A8-9D61-DB3ADE74B325}" uniqueName="13" name="Population_per_hospital" queryTableFieldId="13" dataDxfId="33"/>
    <tableColumn id="14" xr3:uid="{C8A5C1BD-2F4F-4407-BABB-9E669480CEB8}" uniqueName="14" name="Doctor Shortage %" queryTableFieldId="14" dataDxfId="32">
      <calculatedColumnFormula>(Population__2_1[[#This Row],[Doctors_Senctioned]]-Population__2_1[[#This Row],[Docotrs_in_Position]])/Population__2_1[[#This Row],[Doctors_Senctioned]]</calculatedColumnFormula>
    </tableColumn>
    <tableColumn id="15" xr3:uid="{4AE8BD25-A976-489D-8522-FC8604DC760C}" uniqueName="15" name="Dengue_Case_Rate" queryTableFieldId="15" dataDxfId="31">
      <calculatedColumnFormula>Population__2_1[[#This Row],[Dengue_Cases_2019_to_2024]]/Population__2_1[[#This Row],[Projected_Population]]</calculatedColumnFormula>
    </tableColumn>
    <tableColumn id="16" xr3:uid="{DA85592E-827E-49ED-89F8-E2AB096E9C99}" uniqueName="16" name="Dengue_death_rate" queryTableFieldId="16" dataDxfId="30">
      <calculatedColumnFormula>Population__2_1[[#This Row],[Dengue_Deaths_2019 to 2024]]/Population__2_1[[#This Row],[Dengue_Cases_2019_to_2024]]</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DE5FBD78-9475-4830-854D-5F35EBC43DA7}" name="Doctors_Count1" displayName="Doctors_Count1" ref="A1:C37" tableType="queryTable" totalsRowShown="0">
  <autoFilter ref="A1:C37" xr:uid="{DE5FBD78-9475-4830-854D-5F35EBC43DA7}"/>
  <tableColumns count="3">
    <tableColumn id="5" xr3:uid="{37B8BD26-950E-4123-8834-4A984D8A855F}" uniqueName="5" name="States" queryTableFieldId="5" dataDxfId="16"/>
    <tableColumn id="6" xr3:uid="{03C2B81E-09B3-4399-88F9-6E67FE5BF752}" uniqueName="6" name="Doctors_Senctioned" queryTableFieldId="6"/>
    <tableColumn id="7" xr3:uid="{1EAFFF04-AA12-46D9-94FE-E1D7505974C9}" uniqueName="7" name="Docotrs_in_Position" queryTableFieldId="7"/>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1B86F488-6553-4D87-8B4C-45137CB9094E}" name="Dengue_Cases__2" displayName="Dengue_Cases__2" ref="A1:C37" tableType="queryTable" totalsRowShown="0">
  <autoFilter ref="A1:C37" xr:uid="{1B86F488-6553-4D87-8B4C-45137CB9094E}"/>
  <tableColumns count="3">
    <tableColumn id="1" xr3:uid="{0B3BDAB3-02C0-402B-BDAB-153908041CFA}" uniqueName="1" name="States" queryTableFieldId="1" dataDxfId="15"/>
    <tableColumn id="2" xr3:uid="{812938E3-734D-46AB-8C33-FB1D984E3BD6}" uniqueName="2" name="Total_Dengue_Cases 2019 to 2024" queryTableFieldId="2"/>
    <tableColumn id="3" xr3:uid="{4144891A-BD4C-4C37-983B-A5322DCCD2F6}" uniqueName="3" name="Total_Dengue_Death_2019 to 2024" queryTableFieldId="3"/>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E7696232-5C2F-4602-BEA2-A6FA6F37DD08}" name="Dengue_Cases" displayName="Dengue_Cases" ref="A1:C37" tableType="queryTable" totalsRowShown="0">
  <autoFilter ref="A1:C37" xr:uid="{E7696232-5C2F-4602-BEA2-A6FA6F37DD08}"/>
  <tableColumns count="3">
    <tableColumn id="1" xr3:uid="{9D725041-2880-4986-ADFD-2F7615437A04}" uniqueName="1" name="States" queryTableFieldId="1" dataDxfId="14"/>
    <tableColumn id="2" xr3:uid="{A60A1AB5-B894-42CD-BAA9-8625D7250E83}" uniqueName="2" name="Total_Dengue_Cases 2019 to 2024" queryTableFieldId="2"/>
    <tableColumn id="3" xr3:uid="{43E592BB-6038-4B41-96CA-F716B3611BC7}" uniqueName="3" name="Total_Dengue_Death_2019 to 2024" queryTableFieldId="3"/>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F8377CCD-661F-4E0E-8E93-C9852A01DF10}" name="Population__2" displayName="Population__2" ref="A1:I36" tableType="queryTable" totalsRowShown="0">
  <autoFilter ref="A1:I36" xr:uid="{F8377CCD-661F-4E0E-8E93-C9852A01DF10}"/>
  <tableColumns count="9">
    <tableColumn id="1" xr3:uid="{B054F1D2-479C-4F72-8AC1-A88C886BF134}" uniqueName="1" name="States" queryTableFieldId="1" dataDxfId="9"/>
    <tableColumn id="10" xr3:uid="{4C56BD81-29A7-4ADB-8B3B-2374C75C59FB}" uniqueName="10" name="Population" queryTableFieldId="10"/>
    <tableColumn id="3" xr3:uid="{BC361F7F-6898-401F-BC60-452444688AC7}" uniqueName="3" name="Average_growth" queryTableFieldId="3"/>
    <tableColumn id="11" xr3:uid="{6FBC53A6-7F0F-4A13-A3E3-2C42076BC3D3}" uniqueName="11" name="Hospitals_Count" queryTableFieldId="11"/>
    <tableColumn id="12" xr3:uid="{B96B711D-1AED-4EC9-8505-B6D513059D1E}" uniqueName="12" name="Hospitals_Beds_Count" queryTableFieldId="12"/>
    <tableColumn id="13" xr3:uid="{08ABE730-5A77-412B-9608-504E617CA5ED}" uniqueName="13" name="Dengue_Cases_2019_to_2024" queryTableFieldId="13"/>
    <tableColumn id="14" xr3:uid="{C481065A-E8D9-43CC-B518-C17F40B03174}" uniqueName="14" name="Dengue_Deaths_2019 to 2024" queryTableFieldId="14"/>
    <tableColumn id="15" xr3:uid="{CF38D219-BB1C-4B10-B1B4-09DC0458F6FB}" uniqueName="15" name="Doctors_Senctioned" queryTableFieldId="15"/>
    <tableColumn id="16" xr3:uid="{97BB70A5-DA87-421E-9CEC-94B969DF86EB}" uniqueName="16" name="Docotrs_in_Position" queryTableFieldId="16"/>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3BD23159-7FC1-4A00-98B6-C1C306358DDA}" name="Population" displayName="Population" ref="A1:C36" tableType="queryTable" totalsRowShown="0">
  <autoFilter ref="A1:C36" xr:uid="{3BD23159-7FC1-4A00-98B6-C1C306358DDA}"/>
  <tableColumns count="3">
    <tableColumn id="1" xr3:uid="{13937DF2-0320-457A-B5A9-A67A31DEB04B}" uniqueName="1" name="State" queryTableFieldId="1" dataDxfId="8"/>
    <tableColumn id="2" xr3:uid="{7D9AC808-148D-4D7E-ADE3-5100E7C0CA8A}" uniqueName="2" name="State_Population" queryTableFieldId="2"/>
    <tableColumn id="3" xr3:uid="{A2A563C0-EFB8-48D8-8862-ADE08F0B7647}" uniqueName="3" name="Average_growth" queryTableFieldId="3"/>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CC804891-586B-4F85-8AD0-47AB153C22E1}" name="Table1_1__3" displayName="Table1_1__3" ref="A1:B64" tableType="queryTable" totalsRowShown="0">
  <autoFilter ref="A1:B64" xr:uid="{CC804891-586B-4F85-8AD0-47AB153C22E1}"/>
  <tableColumns count="2">
    <tableColumn id="1" xr3:uid="{647F7CCC-F9E1-4AE3-821B-0EA2B4ADEB3E}" uniqueName="1" name="State_Varient" queryTableFieldId="1" dataDxfId="7"/>
    <tableColumn id="2" xr3:uid="{5CBF4DCE-4F11-4611-9756-3E7B70B97B81}" uniqueName="2" name="State_Standerd" queryTableFieldId="2" dataDxfId="6"/>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E0CB6D7F-E8EF-47D2-9876-8676C135CC1F}" name="Table1_1" displayName="Table1_1" ref="A1:B64" tableType="queryTable" totalsRowShown="0">
  <autoFilter ref="A1:B64" xr:uid="{E0CB6D7F-E8EF-47D2-9876-8676C135CC1F}"/>
  <tableColumns count="2">
    <tableColumn id="1" xr3:uid="{99989F59-A3F2-461B-9086-4CDA81DB5D7B}" uniqueName="1" name="State_Varient" queryTableFieldId="1" dataDxfId="5"/>
    <tableColumn id="2" xr3:uid="{502A8314-2F60-4A02-9BDC-819291B1306C}" uniqueName="2" name="State_Standerd" queryTableFieldId="2" dataDxfId="4"/>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DF245C39-1CB0-453E-85DC-FD0D263B3890}" name="Hospitals_Beds_Count_1" displayName="Hospitals_Beds_Count_1" ref="A1:C37" tableType="queryTable" totalsRowShown="0">
  <autoFilter ref="A1:C37" xr:uid="{DF245C39-1CB0-453E-85DC-FD0D263B3890}"/>
  <tableColumns count="3">
    <tableColumn id="1" xr3:uid="{BC0FBC0E-A9ED-4B4B-AD08-7163E2D01B42}" uniqueName="1" name="States" queryTableFieldId="1" dataDxfId="3"/>
    <tableColumn id="2" xr3:uid="{091956D8-D5CB-4934-9F29-38EA41AFDA48}" uniqueName="2" name="Hospitals" queryTableFieldId="2"/>
    <tableColumn id="3" xr3:uid="{E2D402C9-EAD9-4EB9-AEBE-9BF9144C967F}" uniqueName="3" name="Beds" queryTableFieldId="3"/>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A4D5DB64-3BBF-401D-999D-93FA2B550B02}" name="Hospitals_Beds_Count" displayName="Hospitals_Beds_Count" ref="A1:C37" totalsRowShown="0">
  <autoFilter ref="A1:C37" xr:uid="{A4D5DB64-3BBF-401D-999D-93FA2B550B02}"/>
  <tableColumns count="3">
    <tableColumn id="1" xr3:uid="{FFA5D54B-AC02-4295-9996-E1C392944537}" name="States" dataDxfId="2"/>
    <tableColumn id="2" xr3:uid="{FBAFFDA3-F0CF-4920-BB66-47D078DF82B2}" name="Hospitals" dataDxfId="1"/>
    <tableColumn id="3" xr3:uid="{76AE1007-1A10-4E24-93F1-C320955C986F}" name="Beds" dataDxfId="0"/>
  </tableColumns>
  <tableStyleInfo name="TableStyleMedium7"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 displayName="Table1" ref="A1:J43" totalsRowShown="0">
  <autoFilter ref="A1:J43" xr:uid="{00000000-0009-0000-0100-000001000000}"/>
  <tableColumns count="10">
    <tableColumn id="1" xr3:uid="{00000000-0010-0000-0100-000001000000}" name="Column1"/>
    <tableColumn id="2" xr3:uid="{00000000-0010-0000-0100-000002000000}" name="Column2"/>
    <tableColumn id="3" xr3:uid="{00000000-0010-0000-0100-000003000000}" name="Column3"/>
    <tableColumn id="4" xr3:uid="{00000000-0010-0000-0100-000004000000}" name="Column4"/>
    <tableColumn id="5" xr3:uid="{00000000-0010-0000-0100-000005000000}" name="Column5"/>
    <tableColumn id="6" xr3:uid="{00000000-0010-0000-0100-000006000000}" name="Column6"/>
    <tableColumn id="7" xr3:uid="{00000000-0010-0000-0100-000007000000}" name="Column7"/>
    <tableColumn id="8" xr3:uid="{00000000-0010-0000-0100-000008000000}" name="Column8"/>
    <tableColumn id="9" xr3:uid="{00000000-0010-0000-0100-000009000000}" name="Column9"/>
    <tableColumn id="10" xr3:uid="{00000000-0010-0000-0100-00000A000000}" name="Column1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247DE1-3288-42D1-A3BF-299261124D33}">
  <dimension ref="A1:P36"/>
  <sheetViews>
    <sheetView topLeftCell="A2" workbookViewId="0">
      <selection activeCell="K2" sqref="K2"/>
    </sheetView>
  </sheetViews>
  <sheetFormatPr defaultRowHeight="14.4" x14ac:dyDescent="0.3"/>
  <cols>
    <col min="1" max="1" width="23.44140625" bestFit="1" customWidth="1"/>
    <col min="2" max="2" width="14.5546875" bestFit="1" customWidth="1"/>
    <col min="3" max="4" width="18.5546875" bestFit="1" customWidth="1"/>
    <col min="5" max="5" width="19.21875" bestFit="1" customWidth="1"/>
    <col min="6" max="6" width="21.21875" bestFit="1" customWidth="1"/>
    <col min="7" max="7" width="21" bestFit="1" customWidth="1"/>
    <col min="8" max="8" width="19.109375" bestFit="1" customWidth="1"/>
    <col min="9" max="9" width="19.33203125" bestFit="1" customWidth="1"/>
    <col min="10" max="10" width="20.88671875" style="9" bestFit="1" customWidth="1"/>
    <col min="11" max="11" width="18" style="2" bestFit="1" customWidth="1"/>
    <col min="12" max="12" width="20.33203125" style="2" bestFit="1" customWidth="1"/>
    <col min="13" max="13" width="23" style="12" bestFit="1" customWidth="1"/>
    <col min="14" max="14" width="18.77734375" style="9" bestFit="1" customWidth="1"/>
    <col min="15" max="15" width="17.21875" style="2" bestFit="1" customWidth="1"/>
    <col min="16" max="16" width="17.109375" style="9" bestFit="1" customWidth="1"/>
  </cols>
  <sheetData>
    <row r="1" spans="1:16" s="5" customFormat="1" ht="28.8" x14ac:dyDescent="0.3">
      <c r="A1" s="5" t="s">
        <v>58</v>
      </c>
      <c r="B1" s="5" t="s">
        <v>98</v>
      </c>
      <c r="C1" s="5" t="s">
        <v>86</v>
      </c>
      <c r="D1" s="5" t="s">
        <v>99</v>
      </c>
      <c r="E1" s="5" t="s">
        <v>100</v>
      </c>
      <c r="F1" s="5" t="s">
        <v>101</v>
      </c>
      <c r="G1" s="5" t="s">
        <v>102</v>
      </c>
      <c r="H1" s="5" t="s">
        <v>96</v>
      </c>
      <c r="I1" s="5" t="s">
        <v>97</v>
      </c>
      <c r="J1" s="7" t="s">
        <v>103</v>
      </c>
      <c r="K1" s="6" t="s">
        <v>104</v>
      </c>
      <c r="L1" s="6" t="s">
        <v>105</v>
      </c>
      <c r="M1" s="10" t="s">
        <v>106</v>
      </c>
      <c r="N1" s="7" t="s">
        <v>107</v>
      </c>
      <c r="O1" s="6" t="s">
        <v>111</v>
      </c>
      <c r="P1" s="7" t="s">
        <v>112</v>
      </c>
    </row>
    <row r="2" spans="1:16" x14ac:dyDescent="0.3">
      <c r="A2" s="3" t="s">
        <v>37</v>
      </c>
      <c r="B2" s="3">
        <v>380581</v>
      </c>
      <c r="C2" s="3">
        <v>5.9666666666666757E-3</v>
      </c>
      <c r="D2" s="3">
        <v>5</v>
      </c>
      <c r="E2" s="3">
        <v>90</v>
      </c>
      <c r="F2" s="3">
        <v>2338</v>
      </c>
      <c r="G2" s="3">
        <v>3</v>
      </c>
      <c r="H2" s="3">
        <v>42</v>
      </c>
      <c r="I2" s="3">
        <v>34</v>
      </c>
      <c r="J2" s="8">
        <v>382851.79996666667</v>
      </c>
      <c r="K2" s="4">
        <v>0.23507790745096649</v>
      </c>
      <c r="L2" s="4">
        <v>8.8807209481476218E-2</v>
      </c>
      <c r="M2" s="11">
        <v>76570.359993333332</v>
      </c>
      <c r="N2" s="8">
        <f>(Population__2_1[[#This Row],[Doctors_Senctioned]]-Population__2_1[[#This Row],[Docotrs_in_Position]])/Population__2_1[[#This Row],[Doctors_Senctioned]]</f>
        <v>0.19047619047619047</v>
      </c>
      <c r="O2" s="4">
        <f>Population__2_1[[#This Row],[Dengue_Cases_2019_to_2024]]/Population__2_1[[#This Row],[Projected_Population]]</f>
        <v>6.1068016402262178E-3</v>
      </c>
      <c r="P2" s="8">
        <f>Population__2_1[[#This Row],[Dengue_Deaths_2019 to 2024]]/Population__2_1[[#This Row],[Dengue_Cases_2019_to_2024]]</f>
        <v>1.2831479897348161E-3</v>
      </c>
    </row>
    <row r="3" spans="1:16" x14ac:dyDescent="0.3">
      <c r="A3" s="3" t="s">
        <v>8</v>
      </c>
      <c r="B3" s="3">
        <v>67459740</v>
      </c>
      <c r="C3" s="3">
        <v>0.11214117647058824</v>
      </c>
      <c r="D3" s="3">
        <v>8</v>
      </c>
      <c r="E3" s="3">
        <v>365</v>
      </c>
      <c r="F3" s="3">
        <v>25651</v>
      </c>
      <c r="G3" s="3">
        <v>0</v>
      </c>
      <c r="H3" s="3">
        <v>2267</v>
      </c>
      <c r="I3" s="3">
        <v>2045</v>
      </c>
      <c r="J3" s="8">
        <v>75024754.607999995</v>
      </c>
      <c r="K3" s="4">
        <v>4.8650608976610974E-3</v>
      </c>
      <c r="L3" s="4">
        <v>2.7257669960868338E-2</v>
      </c>
      <c r="M3" s="11">
        <v>9378094.3259999994</v>
      </c>
      <c r="N3" s="8">
        <f>(Population__2_1[[#This Row],[Doctors_Senctioned]]-Population__2_1[[#This Row],[Docotrs_in_Position]])/Population__2_1[[#This Row],[Doctors_Senctioned]]</f>
        <v>9.7926775474194969E-2</v>
      </c>
      <c r="O3" s="4">
        <f>Population__2_1[[#This Row],[Dengue_Cases_2019_to_2024]]/Population__2_1[[#This Row],[Projected_Population]]</f>
        <v>3.4190048516686248E-4</v>
      </c>
      <c r="P3" s="8">
        <f>Population__2_1[[#This Row],[Dengue_Deaths_2019 to 2024]]/Population__2_1[[#This Row],[Dengue_Cases_2019_to_2024]]</f>
        <v>0</v>
      </c>
    </row>
    <row r="4" spans="1:16" x14ac:dyDescent="0.3">
      <c r="A4" s="3" t="s">
        <v>9</v>
      </c>
      <c r="B4" s="3">
        <v>1383727</v>
      </c>
      <c r="C4" s="3">
        <v>0.27805625</v>
      </c>
      <c r="D4" s="3">
        <v>12</v>
      </c>
      <c r="E4" s="3">
        <v>125</v>
      </c>
      <c r="F4" s="3">
        <v>381</v>
      </c>
      <c r="G4" s="3">
        <v>0</v>
      </c>
      <c r="H4" s="3">
        <v>30</v>
      </c>
      <c r="I4" s="3">
        <v>125</v>
      </c>
      <c r="J4" s="8">
        <v>1768480.9406437501</v>
      </c>
      <c r="K4" s="4">
        <v>7.0682130141871011E-2</v>
      </c>
      <c r="L4" s="4">
        <v>7.0682130141871011E-2</v>
      </c>
      <c r="M4" s="11">
        <v>147373.41172031252</v>
      </c>
      <c r="N4" s="8">
        <f>(Population__2_1[[#This Row],[Doctors_Senctioned]]-Population__2_1[[#This Row],[Docotrs_in_Position]])/Population__2_1[[#This Row],[Doctors_Senctioned]]</f>
        <v>-3.1666666666666665</v>
      </c>
      <c r="O4" s="4">
        <f>Population__2_1[[#This Row],[Dengue_Cases_2019_to_2024]]/Population__2_1[[#This Row],[Projected_Population]]</f>
        <v>2.1543913267242282E-4</v>
      </c>
      <c r="P4" s="8">
        <f>Population__2_1[[#This Row],[Dengue_Deaths_2019 to 2024]]/Population__2_1[[#This Row],[Dengue_Cases_2019_to_2024]]</f>
        <v>0</v>
      </c>
    </row>
    <row r="5" spans="1:16" x14ac:dyDescent="0.3">
      <c r="A5" s="3" t="s">
        <v>10</v>
      </c>
      <c r="B5" s="3">
        <v>28381808</v>
      </c>
      <c r="C5" s="3">
        <v>0.16313076923076925</v>
      </c>
      <c r="D5" s="3">
        <v>4</v>
      </c>
      <c r="E5" s="3">
        <v>205</v>
      </c>
      <c r="F5" s="3">
        <v>10636</v>
      </c>
      <c r="G5" s="3">
        <v>9</v>
      </c>
      <c r="H5" s="3">
        <v>30</v>
      </c>
      <c r="I5" s="3">
        <v>1376</v>
      </c>
      <c r="J5" s="8">
        <v>33011754.171200003</v>
      </c>
      <c r="K5" s="4">
        <v>6.209909323111505E-3</v>
      </c>
      <c r="L5" s="4">
        <v>4.1682123066348435E-2</v>
      </c>
      <c r="M5" s="11">
        <v>8252938.5428000009</v>
      </c>
      <c r="N5" s="8">
        <f>(Population__2_1[[#This Row],[Doctors_Senctioned]]-Population__2_1[[#This Row],[Docotrs_in_Position]])/Population__2_1[[#This Row],[Doctors_Senctioned]]</f>
        <v>-44.866666666666667</v>
      </c>
      <c r="O5" s="4">
        <f>Population__2_1[[#This Row],[Dengue_Cases_2019_to_2024]]/Population__2_1[[#This Row],[Projected_Population]]</f>
        <v>3.2218827102738516E-4</v>
      </c>
      <c r="P5" s="8">
        <f>Population__2_1[[#This Row],[Dengue_Deaths_2019 to 2024]]/Population__2_1[[#This Row],[Dengue_Cases_2019_to_2024]]</f>
        <v>8.4618277547950354E-4</v>
      </c>
    </row>
    <row r="6" spans="1:16" x14ac:dyDescent="0.3">
      <c r="A6" s="3" t="s">
        <v>11</v>
      </c>
      <c r="B6" s="3">
        <v>89751364</v>
      </c>
      <c r="C6" s="3">
        <v>0.25403636363636362</v>
      </c>
      <c r="D6" s="3">
        <v>8</v>
      </c>
      <c r="E6" s="3">
        <v>950</v>
      </c>
      <c r="F6" s="3">
        <v>42041</v>
      </c>
      <c r="G6" s="3">
        <v>110</v>
      </c>
      <c r="H6" s="3">
        <v>2078</v>
      </c>
      <c r="I6" s="3">
        <v>1786</v>
      </c>
      <c r="J6" s="8">
        <v>112551474.14196363</v>
      </c>
      <c r="K6" s="4">
        <v>8.4405824734178451E-3</v>
      </c>
      <c r="L6" s="4">
        <v>1.5868295050025547E-2</v>
      </c>
      <c r="M6" s="11">
        <v>14068934.267745454</v>
      </c>
      <c r="N6" s="8">
        <f>(Population__2_1[[#This Row],[Doctors_Senctioned]]-Population__2_1[[#This Row],[Docotrs_in_Position]])/Population__2_1[[#This Row],[Doctors_Senctioned]]</f>
        <v>0.14051973051010588</v>
      </c>
      <c r="O6" s="4">
        <f>Population__2_1[[#This Row],[Dengue_Cases_2019_to_2024]]/Population__2_1[[#This Row],[Projected_Population]]</f>
        <v>3.7352687133153644E-4</v>
      </c>
      <c r="P6" s="8">
        <f>Population__2_1[[#This Row],[Dengue_Deaths_2019 to 2024]]/Population__2_1[[#This Row],[Dengue_Cases_2019_to_2024]]</f>
        <v>2.6164934230869866E-3</v>
      </c>
    </row>
    <row r="7" spans="1:16" x14ac:dyDescent="0.3">
      <c r="A7" s="3" t="s">
        <v>38</v>
      </c>
      <c r="B7" s="3">
        <v>1055450</v>
      </c>
      <c r="C7" s="3">
        <v>0.1719</v>
      </c>
      <c r="D7" s="3">
        <v>2</v>
      </c>
      <c r="E7" s="3">
        <v>80</v>
      </c>
      <c r="F7" s="3">
        <v>3511</v>
      </c>
      <c r="G7" s="3">
        <v>4</v>
      </c>
      <c r="H7" s="3">
        <v>132</v>
      </c>
      <c r="I7" s="3">
        <v>0</v>
      </c>
      <c r="J7" s="8">
        <v>1236881.855</v>
      </c>
      <c r="K7" s="4">
        <v>6.4678772411937438E-2</v>
      </c>
      <c r="L7" s="4">
        <v>0</v>
      </c>
      <c r="M7" s="11">
        <v>618440.92749999999</v>
      </c>
      <c r="N7" s="8">
        <f>(Population__2_1[[#This Row],[Doctors_Senctioned]]-Population__2_1[[#This Row],[Docotrs_in_Position]])/Population__2_1[[#This Row],[Doctors_Senctioned]]</f>
        <v>1</v>
      </c>
      <c r="O7" s="4">
        <f>Population__2_1[[#This Row],[Dengue_Cases_2019_to_2024]]/Population__2_1[[#This Row],[Projected_Population]]</f>
        <v>2.8385896242289041E-3</v>
      </c>
      <c r="P7" s="8">
        <f>Population__2_1[[#This Row],[Dengue_Deaths_2019 to 2024]]/Population__2_1[[#This Row],[Dengue_Cases_2019_to_2024]]</f>
        <v>1.1392765593847907E-3</v>
      </c>
    </row>
    <row r="8" spans="1:16" x14ac:dyDescent="0.3">
      <c r="A8" s="3" t="s">
        <v>12</v>
      </c>
      <c r="B8" s="3">
        <v>25545198</v>
      </c>
      <c r="C8" s="3">
        <v>0.20034999999999994</v>
      </c>
      <c r="D8" s="3">
        <v>15</v>
      </c>
      <c r="E8" s="3">
        <v>840</v>
      </c>
      <c r="F8" s="3">
        <v>7116</v>
      </c>
      <c r="G8" s="3">
        <v>10</v>
      </c>
      <c r="H8" s="3">
        <v>793</v>
      </c>
      <c r="I8" s="3">
        <v>359</v>
      </c>
      <c r="J8" s="8">
        <v>30663178.419300001</v>
      </c>
      <c r="K8" s="4">
        <v>2.7394420386351325E-2</v>
      </c>
      <c r="L8" s="4">
        <v>1.1707853474643008E-2</v>
      </c>
      <c r="M8" s="11">
        <v>2044211.8946200002</v>
      </c>
      <c r="N8" s="8">
        <f>(Population__2_1[[#This Row],[Doctors_Senctioned]]-Population__2_1[[#This Row],[Docotrs_in_Position]])/Population__2_1[[#This Row],[Doctors_Senctioned]]</f>
        <v>0.54728877679697352</v>
      </c>
      <c r="O8" s="4">
        <f>Population__2_1[[#This Row],[Dengue_Cases_2019_to_2024]]/Population__2_1[[#This Row],[Projected_Population]]</f>
        <v>2.3206987555866195E-4</v>
      </c>
      <c r="P8" s="8">
        <f>Population__2_1[[#This Row],[Dengue_Deaths_2019 to 2024]]/Population__2_1[[#This Row],[Dengue_Cases_2019_to_2024]]</f>
        <v>1.405283867341203E-3</v>
      </c>
    </row>
    <row r="9" spans="1:16" x14ac:dyDescent="0.3">
      <c r="A9" s="3" t="s">
        <v>77</v>
      </c>
      <c r="B9" s="3">
        <v>343709</v>
      </c>
      <c r="C9" s="3">
        <v>0.55879999999999996</v>
      </c>
      <c r="D9" s="3">
        <v>0</v>
      </c>
      <c r="E9" s="3">
        <v>0</v>
      </c>
      <c r="F9" s="3">
        <v>4237</v>
      </c>
      <c r="G9" s="3">
        <v>2</v>
      </c>
      <c r="H9" s="3">
        <v>15</v>
      </c>
      <c r="I9" s="3">
        <v>8</v>
      </c>
      <c r="J9" s="8">
        <v>535773.58919999993</v>
      </c>
      <c r="K9" s="4">
        <v>0</v>
      </c>
      <c r="L9" s="4">
        <v>1.4931680398702267E-2</v>
      </c>
      <c r="M9" s="11" t="e">
        <v>#NUM!</v>
      </c>
      <c r="N9" s="8">
        <f>(Population__2_1[[#This Row],[Doctors_Senctioned]]-Population__2_1[[#This Row],[Docotrs_in_Position]])/Population__2_1[[#This Row],[Doctors_Senctioned]]</f>
        <v>0.46666666666666667</v>
      </c>
      <c r="O9" s="4">
        <f>Population__2_1[[#This Row],[Dengue_Cases_2019_to_2024]]/Population__2_1[[#This Row],[Projected_Population]]</f>
        <v>7.9081912311626881E-3</v>
      </c>
      <c r="P9" s="8">
        <f>Population__2_1[[#This Row],[Dengue_Deaths_2019 to 2024]]/Population__2_1[[#This Row],[Dengue_Cases_2019_to_2024]]</f>
        <v>4.720320981826764E-4</v>
      </c>
    </row>
    <row r="10" spans="1:16" x14ac:dyDescent="0.3">
      <c r="A10" s="3" t="s">
        <v>80</v>
      </c>
      <c r="B10" s="3">
        <v>243247</v>
      </c>
      <c r="C10" s="3">
        <v>0.4274</v>
      </c>
      <c r="D10" s="3">
        <v>2</v>
      </c>
      <c r="E10" s="3">
        <v>20</v>
      </c>
      <c r="F10" s="3">
        <v>1503</v>
      </c>
      <c r="G10" s="3">
        <v>3</v>
      </c>
      <c r="H10" s="3">
        <v>5</v>
      </c>
      <c r="I10" s="3">
        <v>4</v>
      </c>
      <c r="J10" s="8">
        <v>347210.76779999997</v>
      </c>
      <c r="K10" s="4">
        <v>5.7601900213879259E-2</v>
      </c>
      <c r="L10" s="4">
        <v>1.1520380042775851E-2</v>
      </c>
      <c r="M10" s="11">
        <v>173605.38389999999</v>
      </c>
      <c r="N10" s="8">
        <f>(Population__2_1[[#This Row],[Doctors_Senctioned]]-Population__2_1[[#This Row],[Docotrs_in_Position]])/Population__2_1[[#This Row],[Doctors_Senctioned]]</f>
        <v>0.2</v>
      </c>
      <c r="O10" s="4">
        <f>Population__2_1[[#This Row],[Dengue_Cases_2019_to_2024]]/Population__2_1[[#This Row],[Projected_Population]]</f>
        <v>4.3287828010730263E-3</v>
      </c>
      <c r="P10" s="8">
        <f>Population__2_1[[#This Row],[Dengue_Deaths_2019 to 2024]]/Population__2_1[[#This Row],[Dengue_Cases_2019_to_2024]]</f>
        <v>1.996007984031936E-3</v>
      </c>
    </row>
    <row r="11" spans="1:16" x14ac:dyDescent="0.3">
      <c r="A11" s="3" t="s">
        <v>13</v>
      </c>
      <c r="B11" s="3">
        <v>14056012</v>
      </c>
      <c r="C11" s="3">
        <v>0.13059999999999999</v>
      </c>
      <c r="D11" s="3">
        <v>5</v>
      </c>
      <c r="E11" s="3">
        <v>600</v>
      </c>
      <c r="F11" s="3">
        <v>46865</v>
      </c>
      <c r="G11" s="3">
        <v>51</v>
      </c>
      <c r="H11" s="3">
        <v>21</v>
      </c>
      <c r="I11" s="3">
        <v>22</v>
      </c>
      <c r="J11" s="8">
        <v>15891727.167200001</v>
      </c>
      <c r="K11" s="4">
        <v>3.7755493388936363E-2</v>
      </c>
      <c r="L11" s="4">
        <v>1.3843680909276666E-3</v>
      </c>
      <c r="M11" s="11">
        <v>3178345.4334400003</v>
      </c>
      <c r="N11" s="8">
        <f>(Population__2_1[[#This Row],[Doctors_Senctioned]]-Population__2_1[[#This Row],[Docotrs_in_Position]])/Population__2_1[[#This Row],[Doctors_Senctioned]]</f>
        <v>-4.7619047619047616E-2</v>
      </c>
      <c r="O11" s="4">
        <f>Population__2_1[[#This Row],[Dengue_Cases_2019_to_2024]]/Population__2_1[[#This Row],[Projected_Population]]</f>
        <v>2.9490186627875044E-3</v>
      </c>
      <c r="P11" s="8">
        <f>Population__2_1[[#This Row],[Dengue_Deaths_2019 to 2024]]/Population__2_1[[#This Row],[Dengue_Cases_2019_to_2024]]</f>
        <v>1.0882321561933213E-3</v>
      </c>
    </row>
    <row r="12" spans="1:16" x14ac:dyDescent="0.3">
      <c r="A12" s="3" t="s">
        <v>14</v>
      </c>
      <c r="B12" s="3">
        <v>1458545</v>
      </c>
      <c r="C12" s="3">
        <v>8.2850000000000007E-2</v>
      </c>
      <c r="D12" s="3">
        <v>2</v>
      </c>
      <c r="E12" s="3">
        <v>150</v>
      </c>
      <c r="F12" s="3">
        <v>3149</v>
      </c>
      <c r="G12" s="3">
        <v>4</v>
      </c>
      <c r="H12" s="3">
        <v>48</v>
      </c>
      <c r="I12" s="3">
        <v>56</v>
      </c>
      <c r="J12" s="8">
        <v>1579385.45325</v>
      </c>
      <c r="K12" s="4">
        <v>9.4973649207250613E-2</v>
      </c>
      <c r="L12" s="4">
        <v>3.5456829037373565E-2</v>
      </c>
      <c r="M12" s="11">
        <v>789692.72662500001</v>
      </c>
      <c r="N12" s="8">
        <f>(Population__2_1[[#This Row],[Doctors_Senctioned]]-Population__2_1[[#This Row],[Docotrs_in_Position]])/Population__2_1[[#This Row],[Doctors_Senctioned]]</f>
        <v>-0.16666666666666666</v>
      </c>
      <c r="O12" s="4">
        <f>Population__2_1[[#This Row],[Dengue_Cases_2019_to_2024]]/Population__2_1[[#This Row],[Projected_Population]]</f>
        <v>1.9938134756908809E-3</v>
      </c>
      <c r="P12" s="8">
        <f>Population__2_1[[#This Row],[Dengue_Deaths_2019 to 2024]]/Population__2_1[[#This Row],[Dengue_Cases_2019_to_2024]]</f>
        <v>1.2702445220704986E-3</v>
      </c>
    </row>
    <row r="13" spans="1:16" x14ac:dyDescent="0.3">
      <c r="A13" s="3" t="s">
        <v>15</v>
      </c>
      <c r="B13" s="3">
        <v>54816245</v>
      </c>
      <c r="C13" s="3">
        <v>0.17310833333333334</v>
      </c>
      <c r="D13" s="3">
        <v>64</v>
      </c>
      <c r="E13" s="3">
        <v>3258</v>
      </c>
      <c r="F13" s="3">
        <v>45563</v>
      </c>
      <c r="G13" s="3">
        <v>48</v>
      </c>
      <c r="H13" s="3">
        <v>1865</v>
      </c>
      <c r="I13" s="3">
        <v>1321</v>
      </c>
      <c r="J13" s="8">
        <v>64305393.811541669</v>
      </c>
      <c r="K13" s="4">
        <v>5.0664490284409815E-2</v>
      </c>
      <c r="L13" s="4">
        <v>2.0542600265716811E-2</v>
      </c>
      <c r="M13" s="11">
        <v>1004771.7783053386</v>
      </c>
      <c r="N13" s="8">
        <f>(Population__2_1[[#This Row],[Doctors_Senctioned]]-Population__2_1[[#This Row],[Docotrs_in_Position]])/Population__2_1[[#This Row],[Doctors_Senctioned]]</f>
        <v>0.29168900804289544</v>
      </c>
      <c r="O13" s="4">
        <f>Population__2_1[[#This Row],[Dengue_Cases_2019_to_2024]]/Population__2_1[[#This Row],[Projected_Population]]</f>
        <v>7.0854087502411427E-4</v>
      </c>
      <c r="P13" s="8">
        <f>Population__2_1[[#This Row],[Dengue_Deaths_2019 to 2024]]/Population__2_1[[#This Row],[Dengue_Cases_2019_to_2024]]</f>
        <v>1.0534863814937558E-3</v>
      </c>
    </row>
    <row r="14" spans="1:16" x14ac:dyDescent="0.3">
      <c r="A14" s="3" t="s">
        <v>16</v>
      </c>
      <c r="B14" s="3">
        <v>25351462</v>
      </c>
      <c r="C14" s="3">
        <v>0.20492380952380954</v>
      </c>
      <c r="D14" s="3">
        <v>11</v>
      </c>
      <c r="E14" s="3">
        <v>745</v>
      </c>
      <c r="F14" s="3">
        <v>31565</v>
      </c>
      <c r="G14" s="3">
        <v>42</v>
      </c>
      <c r="H14" s="3">
        <v>551</v>
      </c>
      <c r="I14" s="3">
        <v>491</v>
      </c>
      <c r="J14" s="8">
        <v>30546580.170038097</v>
      </c>
      <c r="K14" s="4">
        <v>2.4388982198758218E-2</v>
      </c>
      <c r="L14" s="4">
        <v>1.607381242898025E-2</v>
      </c>
      <c r="M14" s="11">
        <v>2776961.8336398271</v>
      </c>
      <c r="N14" s="8">
        <f>(Population__2_1[[#This Row],[Doctors_Senctioned]]-Population__2_1[[#This Row],[Docotrs_in_Position]])/Population__2_1[[#This Row],[Doctors_Senctioned]]</f>
        <v>0.10889292196007259</v>
      </c>
      <c r="O14" s="4">
        <f>Population__2_1[[#This Row],[Dengue_Cases_2019_to_2024]]/Population__2_1[[#This Row],[Projected_Population]]</f>
        <v>1.0333398967836286E-3</v>
      </c>
      <c r="P14" s="8">
        <f>Population__2_1[[#This Row],[Dengue_Deaths_2019 to 2024]]/Population__2_1[[#This Row],[Dengue_Cases_2019_to_2024]]</f>
        <v>1.3305876762236654E-3</v>
      </c>
    </row>
    <row r="15" spans="1:16" x14ac:dyDescent="0.3">
      <c r="A15" s="3" t="s">
        <v>17</v>
      </c>
      <c r="B15" s="3">
        <v>6864602</v>
      </c>
      <c r="C15" s="3">
        <v>0.113425</v>
      </c>
      <c r="D15" s="3">
        <v>34</v>
      </c>
      <c r="E15" s="3">
        <v>710</v>
      </c>
      <c r="F15" s="3">
        <v>6041</v>
      </c>
      <c r="G15" s="3">
        <v>3</v>
      </c>
      <c r="H15" s="3">
        <v>636</v>
      </c>
      <c r="I15" s="3">
        <v>622</v>
      </c>
      <c r="J15" s="8">
        <v>7643219.4818499992</v>
      </c>
      <c r="K15" s="4">
        <v>9.2892792322136528E-2</v>
      </c>
      <c r="L15" s="4">
        <v>8.1379319470942152E-2</v>
      </c>
      <c r="M15" s="11">
        <v>224800.57299558821</v>
      </c>
      <c r="N15" s="8">
        <f>(Population__2_1[[#This Row],[Doctors_Senctioned]]-Population__2_1[[#This Row],[Docotrs_in_Position]])/Population__2_1[[#This Row],[Doctors_Senctioned]]</f>
        <v>2.20125786163522E-2</v>
      </c>
      <c r="O15" s="4">
        <f>Population__2_1[[#This Row],[Dengue_Cases_2019_to_2024]]/Population__2_1[[#This Row],[Projected_Population]]</f>
        <v>7.9037374425074201E-4</v>
      </c>
      <c r="P15" s="8">
        <f>Population__2_1[[#This Row],[Dengue_Deaths_2019 to 2024]]/Population__2_1[[#This Row],[Dengue_Cases_2019_to_2024]]</f>
        <v>4.9660652209899026E-4</v>
      </c>
    </row>
    <row r="16" spans="1:16" x14ac:dyDescent="0.3">
      <c r="A16" s="3" t="s">
        <v>18</v>
      </c>
      <c r="B16" s="3">
        <v>12541302</v>
      </c>
      <c r="C16" s="3">
        <v>0.24270454545454545</v>
      </c>
      <c r="D16" s="3">
        <v>2</v>
      </c>
      <c r="E16" s="3">
        <v>75</v>
      </c>
      <c r="F16" s="3">
        <v>16877</v>
      </c>
      <c r="G16" s="3">
        <v>32</v>
      </c>
      <c r="H16" s="3">
        <v>1347</v>
      </c>
      <c r="I16" s="3">
        <v>694</v>
      </c>
      <c r="J16" s="8">
        <v>15585133.001318181</v>
      </c>
      <c r="K16" s="4">
        <v>4.8122784703638101E-3</v>
      </c>
      <c r="L16" s="4">
        <v>4.4529616779099793E-2</v>
      </c>
      <c r="M16" s="11">
        <v>7792566.5006590905</v>
      </c>
      <c r="N16" s="8">
        <f>(Population__2_1[[#This Row],[Doctors_Senctioned]]-Population__2_1[[#This Row],[Docotrs_in_Position]])/Population__2_1[[#This Row],[Doctors_Senctioned]]</f>
        <v>0.48478099480326653</v>
      </c>
      <c r="O16" s="4">
        <f>Population__2_1[[#This Row],[Dengue_Cases_2019_to_2024]]/Population__2_1[[#This Row],[Projected_Population]]</f>
        <v>1.0828909832577337E-3</v>
      </c>
      <c r="P16" s="8">
        <f>Population__2_1[[#This Row],[Dengue_Deaths_2019 to 2024]]/Population__2_1[[#This Row],[Dengue_Cases_2019_to_2024]]</f>
        <v>1.8960715767020206E-3</v>
      </c>
    </row>
    <row r="17" spans="1:16" x14ac:dyDescent="0.3">
      <c r="A17" s="3" t="s">
        <v>19</v>
      </c>
      <c r="B17" s="3">
        <v>27389394</v>
      </c>
      <c r="C17" s="3">
        <v>0.24308636363636363</v>
      </c>
      <c r="D17" s="3">
        <v>5</v>
      </c>
      <c r="E17" s="3">
        <v>350</v>
      </c>
      <c r="F17" s="3">
        <v>4068</v>
      </c>
      <c r="G17" s="3">
        <v>5</v>
      </c>
      <c r="H17" s="3">
        <v>556</v>
      </c>
      <c r="I17" s="3">
        <v>340</v>
      </c>
      <c r="J17" s="8">
        <v>34047382.189663634</v>
      </c>
      <c r="K17" s="4">
        <v>1.0279791792810893E-2</v>
      </c>
      <c r="L17" s="4">
        <v>9.9860834558734395E-3</v>
      </c>
      <c r="M17" s="11">
        <v>6809476.4379327269</v>
      </c>
      <c r="N17" s="8">
        <f>(Population__2_1[[#This Row],[Doctors_Senctioned]]-Population__2_1[[#This Row],[Docotrs_in_Position]])/Population__2_1[[#This Row],[Doctors_Senctioned]]</f>
        <v>0.38848920863309355</v>
      </c>
      <c r="O17" s="4">
        <f>Population__2_1[[#This Row],[Dengue_Cases_2019_to_2024]]/Population__2_1[[#This Row],[Projected_Population]]</f>
        <v>1.1948055146615632E-4</v>
      </c>
      <c r="P17" s="8">
        <f>Population__2_1[[#This Row],[Dengue_Deaths_2019 to 2024]]/Population__2_1[[#This Row],[Dengue_Cases_2019_to_2024]]</f>
        <v>1.2291052114060963E-3</v>
      </c>
    </row>
    <row r="18" spans="1:16" x14ac:dyDescent="0.3">
      <c r="A18" s="3" t="s">
        <v>20</v>
      </c>
      <c r="B18" s="3">
        <v>55415190</v>
      </c>
      <c r="C18" s="3">
        <v>0.12089285714285714</v>
      </c>
      <c r="D18" s="3">
        <v>213</v>
      </c>
      <c r="E18" s="3">
        <v>10195</v>
      </c>
      <c r="F18" s="3">
        <v>63367</v>
      </c>
      <c r="G18" s="3">
        <v>45</v>
      </c>
      <c r="H18" s="3">
        <v>2359</v>
      </c>
      <c r="I18" s="3">
        <v>2136</v>
      </c>
      <c r="J18" s="8">
        <v>62114490.648214288</v>
      </c>
      <c r="K18" s="4">
        <v>0.1641323931599058</v>
      </c>
      <c r="L18" s="4">
        <v>3.4388111014179379E-2</v>
      </c>
      <c r="M18" s="11">
        <v>291617.32698692154</v>
      </c>
      <c r="N18" s="8">
        <f>(Population__2_1[[#This Row],[Doctors_Senctioned]]-Population__2_1[[#This Row],[Docotrs_in_Position]])/Population__2_1[[#This Row],[Doctors_Senctioned]]</f>
        <v>9.4531581178465454E-2</v>
      </c>
      <c r="O18" s="4">
        <f>Population__2_1[[#This Row],[Dengue_Cases_2019_to_2024]]/Population__2_1[[#This Row],[Projected_Population]]</f>
        <v>1.0201645274510792E-3</v>
      </c>
      <c r="P18" s="8">
        <f>Population__2_1[[#This Row],[Dengue_Deaths_2019 to 2024]]/Population__2_1[[#This Row],[Dengue_Cases_2019_to_2024]]</f>
        <v>7.101488156295864E-4</v>
      </c>
    </row>
    <row r="19" spans="1:16" x14ac:dyDescent="0.3">
      <c r="A19" s="3" t="s">
        <v>21</v>
      </c>
      <c r="B19" s="3">
        <v>30596127</v>
      </c>
      <c r="C19" s="3">
        <v>3.8846153846153836E-2</v>
      </c>
      <c r="D19" s="3">
        <v>162</v>
      </c>
      <c r="E19" s="3">
        <v>4054</v>
      </c>
      <c r="F19" s="3">
        <v>42275</v>
      </c>
      <c r="G19" s="3">
        <v>252</v>
      </c>
      <c r="H19" s="3">
        <v>1120</v>
      </c>
      <c r="I19" s="3">
        <v>1169</v>
      </c>
      <c r="J19" s="8">
        <v>31784668.85653846</v>
      </c>
      <c r="K19" s="4">
        <v>0.1275457680021117</v>
      </c>
      <c r="L19" s="4">
        <v>3.6778737739138777E-2</v>
      </c>
      <c r="M19" s="11">
        <v>196201.6596082621</v>
      </c>
      <c r="N19" s="8">
        <f>(Population__2_1[[#This Row],[Doctors_Senctioned]]-Population__2_1[[#This Row],[Docotrs_in_Position]])/Population__2_1[[#This Row],[Doctors_Senctioned]]</f>
        <v>-4.3749999999999997E-2</v>
      </c>
      <c r="O19" s="4">
        <f>Population__2_1[[#This Row],[Dengue_Cases_2019_to_2024]]/Population__2_1[[#This Row],[Projected_Population]]</f>
        <v>1.3300437450146209E-3</v>
      </c>
      <c r="P19" s="8">
        <f>Population__2_1[[#This Row],[Dengue_Deaths_2019 to 2024]]/Population__2_1[[#This Row],[Dengue_Cases_2019_to_2024]]</f>
        <v>5.9609698403311649E-3</v>
      </c>
    </row>
    <row r="20" spans="1:16" x14ac:dyDescent="0.3">
      <c r="A20" s="3" t="s">
        <v>82</v>
      </c>
      <c r="B20" s="3">
        <v>64473</v>
      </c>
      <c r="C20" s="3">
        <v>6.3E-2</v>
      </c>
      <c r="D20" s="3">
        <v>0</v>
      </c>
      <c r="E20" s="3">
        <v>0</v>
      </c>
      <c r="F20" s="3">
        <v>897</v>
      </c>
      <c r="G20" s="3">
        <v>0</v>
      </c>
      <c r="H20" s="3">
        <v>8</v>
      </c>
      <c r="I20" s="3">
        <v>8</v>
      </c>
      <c r="J20" s="8">
        <v>68534.798999999999</v>
      </c>
      <c r="K20" s="4">
        <v>0</v>
      </c>
      <c r="L20" s="4">
        <v>0.1167290211210804</v>
      </c>
      <c r="M20" s="11" t="e">
        <v>#NUM!</v>
      </c>
      <c r="N20" s="8">
        <f>(Population__2_1[[#This Row],[Doctors_Senctioned]]-Population__2_1[[#This Row],[Docotrs_in_Position]])/Population__2_1[[#This Row],[Doctors_Senctioned]]</f>
        <v>0</v>
      </c>
      <c r="O20" s="4">
        <f>Population__2_1[[#This Row],[Dengue_Cases_2019_to_2024]]/Population__2_1[[#This Row],[Projected_Population]]</f>
        <v>1.308824149320114E-2</v>
      </c>
      <c r="P20" s="8">
        <f>Population__2_1[[#This Row],[Dengue_Deaths_2019 to 2024]]/Population__2_1[[#This Row],[Dengue_Cases_2019_to_2024]]</f>
        <v>0</v>
      </c>
    </row>
    <row r="21" spans="1:16" x14ac:dyDescent="0.3">
      <c r="A21" s="3" t="s">
        <v>22</v>
      </c>
      <c r="B21" s="3">
        <v>72626809</v>
      </c>
      <c r="C21" s="3">
        <v>0.20242200000000002</v>
      </c>
      <c r="D21" s="3">
        <v>23</v>
      </c>
      <c r="E21" s="3">
        <v>690</v>
      </c>
      <c r="F21" s="3">
        <v>31626</v>
      </c>
      <c r="G21" s="3">
        <v>15</v>
      </c>
      <c r="H21" s="3">
        <v>1771</v>
      </c>
      <c r="I21" s="3">
        <v>1112</v>
      </c>
      <c r="J21" s="8">
        <v>87328072.931398004</v>
      </c>
      <c r="K21" s="4">
        <v>7.9012392789434491E-3</v>
      </c>
      <c r="L21" s="4">
        <v>1.2733591417659586E-2</v>
      </c>
      <c r="M21" s="11">
        <v>3796872.7361477395</v>
      </c>
      <c r="N21" s="8">
        <f>(Population__2_1[[#This Row],[Doctors_Senctioned]]-Population__2_1[[#This Row],[Docotrs_in_Position]])/Population__2_1[[#This Row],[Doctors_Senctioned]]</f>
        <v>0.37210615471485037</v>
      </c>
      <c r="O21" s="4">
        <f>Population__2_1[[#This Row],[Dengue_Cases_2019_to_2024]]/Population__2_1[[#This Row],[Projected_Population]]</f>
        <v>3.6215158468966014E-4</v>
      </c>
      <c r="P21" s="8">
        <f>Population__2_1[[#This Row],[Dengue_Deaths_2019 to 2024]]/Population__2_1[[#This Row],[Dengue_Cases_2019_to_2024]]</f>
        <v>4.7429330297856192E-4</v>
      </c>
    </row>
    <row r="22" spans="1:16" x14ac:dyDescent="0.3">
      <c r="A22" s="3" t="s">
        <v>23</v>
      </c>
      <c r="B22" s="3">
        <v>100887656</v>
      </c>
      <c r="C22" s="3">
        <v>0.1446290322580645</v>
      </c>
      <c r="D22" s="3">
        <v>71</v>
      </c>
      <c r="E22" s="3">
        <v>8836</v>
      </c>
      <c r="F22" s="3">
        <v>61768</v>
      </c>
      <c r="G22" s="3">
        <v>164</v>
      </c>
      <c r="H22" s="3">
        <v>3009</v>
      </c>
      <c r="I22" s="3">
        <v>2929</v>
      </c>
      <c r="J22" s="8">
        <v>115478940.05406453</v>
      </c>
      <c r="K22" s="4">
        <v>7.6516116236113638E-2</v>
      </c>
      <c r="L22" s="4">
        <v>2.5363932147530199E-2</v>
      </c>
      <c r="M22" s="11">
        <v>1626463.9444234441</v>
      </c>
      <c r="N22" s="8">
        <f>(Population__2_1[[#This Row],[Doctors_Senctioned]]-Population__2_1[[#This Row],[Docotrs_in_Position]])/Population__2_1[[#This Row],[Doctors_Senctioned]]</f>
        <v>2.6586905948820207E-2</v>
      </c>
      <c r="O22" s="4">
        <f>Population__2_1[[#This Row],[Dengue_Cases_2019_to_2024]]/Population__2_1[[#This Row],[Projected_Population]]</f>
        <v>5.3488540829247028E-4</v>
      </c>
      <c r="P22" s="8">
        <f>Population__2_1[[#This Row],[Dengue_Deaths_2019 to 2024]]/Population__2_1[[#This Row],[Dengue_Cases_2019_to_2024]]</f>
        <v>2.6550964900919571E-3</v>
      </c>
    </row>
    <row r="23" spans="1:16" x14ac:dyDescent="0.3">
      <c r="A23" s="3" t="s">
        <v>24</v>
      </c>
      <c r="B23" s="3">
        <v>2855794</v>
      </c>
      <c r="C23" s="3">
        <v>0.25541111111111114</v>
      </c>
      <c r="D23" s="3">
        <v>10</v>
      </c>
      <c r="E23" s="3">
        <v>0</v>
      </c>
      <c r="F23" s="3">
        <v>3714</v>
      </c>
      <c r="G23" s="3">
        <v>4</v>
      </c>
      <c r="H23" s="3">
        <v>238</v>
      </c>
      <c r="I23" s="3">
        <v>194</v>
      </c>
      <c r="J23" s="8">
        <v>3585195.5186444442</v>
      </c>
      <c r="K23" s="4">
        <v>0</v>
      </c>
      <c r="L23" s="4">
        <v>5.4111414284415661E-2</v>
      </c>
      <c r="M23" s="11">
        <v>358519.55186444439</v>
      </c>
      <c r="N23" s="8">
        <f>(Population__2_1[[#This Row],[Doctors_Senctioned]]-Population__2_1[[#This Row],[Docotrs_in_Position]])/Population__2_1[[#This Row],[Doctors_Senctioned]]</f>
        <v>0.18487394957983194</v>
      </c>
      <c r="O23" s="4">
        <f>Population__2_1[[#This Row],[Dengue_Cases_2019_to_2024]]/Population__2_1[[#This Row],[Projected_Population]]</f>
        <v>1.0359267662490711E-3</v>
      </c>
      <c r="P23" s="8">
        <f>Population__2_1[[#This Row],[Dengue_Deaths_2019 to 2024]]/Population__2_1[[#This Row],[Dengue_Cases_2019_to_2024]]</f>
        <v>1.0770059235325794E-3</v>
      </c>
    </row>
    <row r="24" spans="1:16" x14ac:dyDescent="0.3">
      <c r="A24" s="3" t="s">
        <v>25</v>
      </c>
      <c r="B24" s="3">
        <v>2966889</v>
      </c>
      <c r="C24" s="3">
        <v>0.30394285714285713</v>
      </c>
      <c r="D24" s="3">
        <v>10</v>
      </c>
      <c r="E24" s="3">
        <v>100</v>
      </c>
      <c r="F24" s="3">
        <v>392</v>
      </c>
      <c r="G24" s="3">
        <v>0</v>
      </c>
      <c r="H24" s="3">
        <v>128</v>
      </c>
      <c r="I24" s="3">
        <v>130</v>
      </c>
      <c r="J24" s="8">
        <v>3868653.7194857141</v>
      </c>
      <c r="K24" s="4">
        <v>2.584878545637671E-2</v>
      </c>
      <c r="L24" s="4">
        <v>3.3603421093289725E-2</v>
      </c>
      <c r="M24" s="11">
        <v>386865.37194857141</v>
      </c>
      <c r="N24" s="8">
        <f>(Population__2_1[[#This Row],[Doctors_Senctioned]]-Population__2_1[[#This Row],[Docotrs_in_Position]])/Population__2_1[[#This Row],[Doctors_Senctioned]]</f>
        <v>-1.5625E-2</v>
      </c>
      <c r="O24" s="4">
        <f>Population__2_1[[#This Row],[Dengue_Cases_2019_to_2024]]/Population__2_1[[#This Row],[Projected_Population]]</f>
        <v>1.0132723898899671E-4</v>
      </c>
      <c r="P24" s="8">
        <f>Population__2_1[[#This Row],[Dengue_Deaths_2019 to 2024]]/Population__2_1[[#This Row],[Dengue_Cases_2019_to_2024]]</f>
        <v>0</v>
      </c>
    </row>
    <row r="25" spans="1:16" x14ac:dyDescent="0.3">
      <c r="A25" s="3" t="s">
        <v>26</v>
      </c>
      <c r="B25" s="3">
        <v>1097206</v>
      </c>
      <c r="C25" s="3">
        <v>0.2434625</v>
      </c>
      <c r="D25" s="3">
        <v>2</v>
      </c>
      <c r="E25" s="3">
        <v>100</v>
      </c>
      <c r="F25" s="3">
        <v>4354</v>
      </c>
      <c r="G25" s="3">
        <v>7</v>
      </c>
      <c r="H25" s="3">
        <v>152</v>
      </c>
      <c r="I25" s="3">
        <v>59</v>
      </c>
      <c r="J25" s="8">
        <v>1364334.515775</v>
      </c>
      <c r="K25" s="4">
        <v>7.3295807475189281E-2</v>
      </c>
      <c r="L25" s="4">
        <v>4.3244526410361681E-2</v>
      </c>
      <c r="M25" s="11">
        <v>682167.25788749999</v>
      </c>
      <c r="N25" s="8">
        <f>(Population__2_1[[#This Row],[Doctors_Senctioned]]-Population__2_1[[#This Row],[Docotrs_in_Position]])/Population__2_1[[#This Row],[Doctors_Senctioned]]</f>
        <v>0.61184210526315785</v>
      </c>
      <c r="O25" s="4">
        <f>Population__2_1[[#This Row],[Dengue_Cases_2019_to_2024]]/Population__2_1[[#This Row],[Projected_Population]]</f>
        <v>3.1912994574697416E-3</v>
      </c>
      <c r="P25" s="8">
        <f>Population__2_1[[#This Row],[Dengue_Deaths_2019 to 2024]]/Population__2_1[[#This Row],[Dengue_Cases_2019_to_2024]]</f>
        <v>1.6077170418006431E-3</v>
      </c>
    </row>
    <row r="26" spans="1:16" x14ac:dyDescent="0.3">
      <c r="A26" s="3" t="s">
        <v>27</v>
      </c>
      <c r="B26" s="3">
        <v>1978502</v>
      </c>
      <c r="C26" s="3">
        <v>0.82280909090909093</v>
      </c>
      <c r="D26" s="3">
        <v>2</v>
      </c>
      <c r="E26" s="3">
        <v>10</v>
      </c>
      <c r="F26" s="3">
        <v>5134</v>
      </c>
      <c r="G26" s="3">
        <v>2</v>
      </c>
      <c r="H26" s="3">
        <v>108</v>
      </c>
      <c r="I26" s="3">
        <v>118</v>
      </c>
      <c r="J26" s="8">
        <v>3606431.4319818178</v>
      </c>
      <c r="K26" s="4">
        <v>2.7728241028846536E-3</v>
      </c>
      <c r="L26" s="4">
        <v>3.2719324414038908E-2</v>
      </c>
      <c r="M26" s="11">
        <v>1803215.7159909089</v>
      </c>
      <c r="N26" s="8">
        <f>(Population__2_1[[#This Row],[Doctors_Senctioned]]-Population__2_1[[#This Row],[Docotrs_in_Position]])/Population__2_1[[#This Row],[Doctors_Senctioned]]</f>
        <v>-9.2592592592592587E-2</v>
      </c>
      <c r="O26" s="4">
        <f>Population__2_1[[#This Row],[Dengue_Cases_2019_to_2024]]/Population__2_1[[#This Row],[Projected_Population]]</f>
        <v>1.423567894420981E-3</v>
      </c>
      <c r="P26" s="8">
        <f>Population__2_1[[#This Row],[Dengue_Deaths_2019 to 2024]]/Population__2_1[[#This Row],[Dengue_Cases_2019_to_2024]]</f>
        <v>3.8955979742890534E-4</v>
      </c>
    </row>
    <row r="27" spans="1:16" x14ac:dyDescent="0.3">
      <c r="A27" s="3" t="s">
        <v>28</v>
      </c>
      <c r="B27" s="3">
        <v>41974218</v>
      </c>
      <c r="C27" s="3">
        <v>0.14249333333333333</v>
      </c>
      <c r="D27" s="3">
        <v>14</v>
      </c>
      <c r="E27" s="3">
        <v>903</v>
      </c>
      <c r="F27" s="3">
        <v>32032</v>
      </c>
      <c r="G27" s="3">
        <v>5</v>
      </c>
      <c r="H27" s="3">
        <v>1326</v>
      </c>
      <c r="I27" s="3">
        <v>917</v>
      </c>
      <c r="J27" s="8">
        <v>47955264.236880004</v>
      </c>
      <c r="K27" s="4">
        <v>1.8830049513220027E-2</v>
      </c>
      <c r="L27" s="4">
        <v>1.9121988265362974E-2</v>
      </c>
      <c r="M27" s="11">
        <v>3425376.0169200003</v>
      </c>
      <c r="N27" s="8">
        <f>(Population__2_1[[#This Row],[Doctors_Senctioned]]-Population__2_1[[#This Row],[Docotrs_in_Position]])/Population__2_1[[#This Row],[Doctors_Senctioned]]</f>
        <v>0.30844645550527905</v>
      </c>
      <c r="O27" s="4">
        <f>Population__2_1[[#This Row],[Dengue_Cases_2019_to_2024]]/Population__2_1[[#This Row],[Projected_Population]]</f>
        <v>6.6795586490306076E-4</v>
      </c>
      <c r="P27" s="8">
        <f>Population__2_1[[#This Row],[Dengue_Deaths_2019 to 2024]]/Population__2_1[[#This Row],[Dengue_Cases_2019_to_2024]]</f>
        <v>1.5609390609390609E-4</v>
      </c>
    </row>
    <row r="28" spans="1:16" x14ac:dyDescent="0.3">
      <c r="A28" s="3" t="s">
        <v>42</v>
      </c>
      <c r="B28" s="3">
        <v>1247953</v>
      </c>
      <c r="C28" s="3">
        <v>0.34297500000000003</v>
      </c>
      <c r="D28" s="3">
        <v>0</v>
      </c>
      <c r="E28" s="3">
        <v>0</v>
      </c>
      <c r="F28" s="3">
        <v>9625</v>
      </c>
      <c r="G28" s="3">
        <v>9</v>
      </c>
      <c r="H28" s="3">
        <v>38</v>
      </c>
      <c r="I28" s="3">
        <v>46</v>
      </c>
      <c r="J28" s="8">
        <v>1675969.6801750001</v>
      </c>
      <c r="K28" s="4">
        <v>0</v>
      </c>
      <c r="L28" s="4">
        <v>2.7446797244683335E-2</v>
      </c>
      <c r="M28" s="11" t="e">
        <v>#NUM!</v>
      </c>
      <c r="N28" s="8">
        <f>(Population__2_1[[#This Row],[Doctors_Senctioned]]-Population__2_1[[#This Row],[Docotrs_in_Position]])/Population__2_1[[#This Row],[Doctors_Senctioned]]</f>
        <v>-0.21052631578947367</v>
      </c>
      <c r="O28" s="4">
        <f>Population__2_1[[#This Row],[Dengue_Cases_2019_to_2024]]/Population__2_1[[#This Row],[Projected_Population]]</f>
        <v>5.7429439886973275E-3</v>
      </c>
      <c r="P28" s="8">
        <f>Population__2_1[[#This Row],[Dengue_Deaths_2019 to 2024]]/Population__2_1[[#This Row],[Dengue_Cases_2019_to_2024]]</f>
        <v>9.3506493506493509E-4</v>
      </c>
    </row>
    <row r="29" spans="1:16" x14ac:dyDescent="0.3">
      <c r="A29" s="3" t="s">
        <v>29</v>
      </c>
      <c r="B29" s="3">
        <v>27743338</v>
      </c>
      <c r="C29" s="3">
        <v>0.13680500000000001</v>
      </c>
      <c r="D29" s="3">
        <v>9</v>
      </c>
      <c r="E29" s="3">
        <v>208</v>
      </c>
      <c r="F29" s="3">
        <v>66992</v>
      </c>
      <c r="G29" s="3">
        <v>171</v>
      </c>
      <c r="H29" s="3">
        <v>593</v>
      </c>
      <c r="I29" s="3">
        <v>480</v>
      </c>
      <c r="J29" s="8">
        <v>31538765.355090003</v>
      </c>
      <c r="K29" s="4">
        <v>6.5950584196356665E-3</v>
      </c>
      <c r="L29" s="4">
        <v>1.5219365583774616E-2</v>
      </c>
      <c r="M29" s="11">
        <v>3504307.2616766673</v>
      </c>
      <c r="N29" s="8">
        <f>(Population__2_1[[#This Row],[Doctors_Senctioned]]-Population__2_1[[#This Row],[Docotrs_in_Position]])/Population__2_1[[#This Row],[Doctors_Senctioned]]</f>
        <v>0.1905564924114671</v>
      </c>
      <c r="O29" s="4">
        <f>Population__2_1[[#This Row],[Dengue_Cases_2019_to_2024]]/Population__2_1[[#This Row],[Projected_Population]]</f>
        <v>2.1241161233088108E-3</v>
      </c>
      <c r="P29" s="8">
        <f>Population__2_1[[#This Row],[Dengue_Deaths_2019 to 2024]]/Population__2_1[[#This Row],[Dengue_Cases_2019_to_2024]]</f>
        <v>2.5525435872940051E-3</v>
      </c>
    </row>
    <row r="30" spans="1:16" x14ac:dyDescent="0.3">
      <c r="A30" s="3" t="s">
        <v>30</v>
      </c>
      <c r="B30" s="3">
        <v>68548437</v>
      </c>
      <c r="C30" s="3">
        <v>0.21125454545454547</v>
      </c>
      <c r="D30" s="3">
        <v>137</v>
      </c>
      <c r="E30" s="3">
        <v>1391</v>
      </c>
      <c r="F30" s="3">
        <v>64911</v>
      </c>
      <c r="G30" s="3">
        <v>144</v>
      </c>
      <c r="H30" s="3">
        <v>2751</v>
      </c>
      <c r="I30" s="3">
        <v>2396</v>
      </c>
      <c r="J30" s="8">
        <v>83029605.900054544</v>
      </c>
      <c r="K30" s="4">
        <v>1.675306036830275E-2</v>
      </c>
      <c r="L30" s="4">
        <v>2.8857176594143344E-2</v>
      </c>
      <c r="M30" s="11">
        <v>606055.51751864632</v>
      </c>
      <c r="N30" s="8">
        <f>(Population__2_1[[#This Row],[Doctors_Senctioned]]-Population__2_1[[#This Row],[Docotrs_in_Position]])/Population__2_1[[#This Row],[Doctors_Senctioned]]</f>
        <v>0.12904398400581607</v>
      </c>
      <c r="O30" s="4">
        <f>Population__2_1[[#This Row],[Dengue_Cases_2019_to_2024]]/Population__2_1[[#This Row],[Projected_Population]]</f>
        <v>7.8178138142839674E-4</v>
      </c>
      <c r="P30" s="8">
        <f>Population__2_1[[#This Row],[Dengue_Deaths_2019 to 2024]]/Population__2_1[[#This Row],[Dengue_Cases_2019_to_2024]]</f>
        <v>2.2184221472477698E-3</v>
      </c>
    </row>
    <row r="31" spans="1:16" x14ac:dyDescent="0.3">
      <c r="A31" s="3" t="s">
        <v>31</v>
      </c>
      <c r="B31" s="3">
        <v>610577</v>
      </c>
      <c r="C31" s="3">
        <v>0.1115</v>
      </c>
      <c r="D31" s="3">
        <v>1</v>
      </c>
      <c r="E31" s="3">
        <v>10</v>
      </c>
      <c r="F31" s="3">
        <v>1332</v>
      </c>
      <c r="G31" s="3">
        <v>1</v>
      </c>
      <c r="H31" s="3">
        <v>30</v>
      </c>
      <c r="I31" s="3">
        <v>24</v>
      </c>
      <c r="J31" s="8">
        <v>678656.33549999993</v>
      </c>
      <c r="K31" s="4">
        <v>1.4734998373856632E-2</v>
      </c>
      <c r="L31" s="4">
        <v>3.5363996097255913E-2</v>
      </c>
      <c r="M31" s="11">
        <v>678656.33549999993</v>
      </c>
      <c r="N31" s="8">
        <f>(Population__2_1[[#This Row],[Doctors_Senctioned]]-Population__2_1[[#This Row],[Docotrs_in_Position]])/Population__2_1[[#This Row],[Doctors_Senctioned]]</f>
        <v>0.2</v>
      </c>
      <c r="O31" s="4">
        <f>Population__2_1[[#This Row],[Dengue_Cases_2019_to_2024]]/Population__2_1[[#This Row],[Projected_Population]]</f>
        <v>1.9627017833977033E-3</v>
      </c>
      <c r="P31" s="8">
        <f>Population__2_1[[#This Row],[Dengue_Deaths_2019 to 2024]]/Population__2_1[[#This Row],[Dengue_Cases_2019_to_2024]]</f>
        <v>7.5075075075075074E-4</v>
      </c>
    </row>
    <row r="32" spans="1:16" x14ac:dyDescent="0.3">
      <c r="A32" s="3" t="s">
        <v>32</v>
      </c>
      <c r="B32" s="3">
        <v>69424740</v>
      </c>
      <c r="C32" s="3">
        <v>0.14687741935483872</v>
      </c>
      <c r="D32" s="3">
        <v>293</v>
      </c>
      <c r="E32" s="3">
        <v>2381</v>
      </c>
      <c r="F32" s="3">
        <v>37305</v>
      </c>
      <c r="G32" s="3">
        <v>35</v>
      </c>
      <c r="H32" s="3">
        <v>3136</v>
      </c>
      <c r="I32" s="3">
        <v>2780</v>
      </c>
      <c r="J32" s="8">
        <v>79621666.650580645</v>
      </c>
      <c r="K32" s="4">
        <v>2.9903920630662113E-2</v>
      </c>
      <c r="L32" s="4">
        <v>3.4915119425972564E-2</v>
      </c>
      <c r="M32" s="11">
        <v>271746.30256170867</v>
      </c>
      <c r="N32" s="8">
        <f>(Population__2_1[[#This Row],[Doctors_Senctioned]]-Population__2_1[[#This Row],[Docotrs_in_Position]])/Population__2_1[[#This Row],[Doctors_Senctioned]]</f>
        <v>0.11352040816326531</v>
      </c>
      <c r="O32" s="4">
        <f>Population__2_1[[#This Row],[Dengue_Cases_2019_to_2024]]/Population__2_1[[#This Row],[Projected_Population]]</f>
        <v>4.6852824826831168E-4</v>
      </c>
      <c r="P32" s="8">
        <f>Population__2_1[[#This Row],[Dengue_Deaths_2019 to 2024]]/Population__2_1[[#This Row],[Dengue_Cases_2019_to_2024]]</f>
        <v>9.3821203592011791E-4</v>
      </c>
    </row>
    <row r="33" spans="1:16" x14ac:dyDescent="0.3">
      <c r="A33" s="3" t="s">
        <v>33</v>
      </c>
      <c r="B33" s="3">
        <v>3673917</v>
      </c>
      <c r="C33" s="3">
        <v>0.16752500000000001</v>
      </c>
      <c r="D33" s="3">
        <v>4</v>
      </c>
      <c r="E33" s="3">
        <v>60</v>
      </c>
      <c r="F33" s="3">
        <v>2247</v>
      </c>
      <c r="G33" s="3">
        <v>0</v>
      </c>
      <c r="H33" s="3">
        <v>132</v>
      </c>
      <c r="I33" s="3">
        <v>119</v>
      </c>
      <c r="J33" s="8">
        <v>4289389.945425</v>
      </c>
      <c r="K33" s="4">
        <v>1.3988003134104213E-2</v>
      </c>
      <c r="L33" s="4">
        <v>2.7742872882640022E-2</v>
      </c>
      <c r="M33" s="11">
        <v>1072347.48635625</v>
      </c>
      <c r="N33" s="8">
        <f>(Population__2_1[[#This Row],[Doctors_Senctioned]]-Population__2_1[[#This Row],[Docotrs_in_Position]])/Population__2_1[[#This Row],[Doctors_Senctioned]]</f>
        <v>9.8484848484848481E-2</v>
      </c>
      <c r="O33" s="4">
        <f>Population__2_1[[#This Row],[Dengue_Cases_2019_to_2024]]/Population__2_1[[#This Row],[Projected_Population]]</f>
        <v>5.2385071737220273E-4</v>
      </c>
      <c r="P33" s="8">
        <f>Population__2_1[[#This Row],[Dengue_Deaths_2019 to 2024]]/Population__2_1[[#This Row],[Dengue_Cases_2019_to_2024]]</f>
        <v>0</v>
      </c>
    </row>
    <row r="34" spans="1:16" x14ac:dyDescent="0.3">
      <c r="A34" s="3" t="s">
        <v>34</v>
      </c>
      <c r="B34" s="3">
        <v>194121100</v>
      </c>
      <c r="C34" s="3">
        <v>0.20016956521739129</v>
      </c>
      <c r="D34" s="3">
        <v>2316</v>
      </c>
      <c r="E34" s="3">
        <v>11461</v>
      </c>
      <c r="F34" s="3">
        <v>99586</v>
      </c>
      <c r="G34" s="3">
        <v>131</v>
      </c>
      <c r="H34" s="3">
        <v>4509</v>
      </c>
      <c r="I34" s="3">
        <v>1344</v>
      </c>
      <c r="J34" s="8">
        <v>232978236.18652174</v>
      </c>
      <c r="K34" s="4">
        <v>4.9193436209313365E-2</v>
      </c>
      <c r="L34" s="4">
        <v>5.7687791872713693E-3</v>
      </c>
      <c r="M34" s="11">
        <v>100595.09334478487</v>
      </c>
      <c r="N34" s="8">
        <f>(Population__2_1[[#This Row],[Doctors_Senctioned]]-Population__2_1[[#This Row],[Docotrs_in_Position]])/Population__2_1[[#This Row],[Doctors_Senctioned]]</f>
        <v>0.70192947438456421</v>
      </c>
      <c r="O34" s="4">
        <f>Population__2_1[[#This Row],[Dengue_Cases_2019_to_2024]]/Population__2_1[[#This Row],[Projected_Population]]</f>
        <v>4.2744765189256441E-4</v>
      </c>
      <c r="P34" s="8">
        <f>Population__2_1[[#This Row],[Dengue_Deaths_2019 to 2024]]/Population__2_1[[#This Row],[Dengue_Cases_2019_to_2024]]</f>
        <v>1.3154459462173399E-3</v>
      </c>
    </row>
    <row r="35" spans="1:16" x14ac:dyDescent="0.3">
      <c r="A35" s="3" t="s">
        <v>35</v>
      </c>
      <c r="B35" s="3">
        <v>10086292</v>
      </c>
      <c r="C35" s="3">
        <v>0.13057692307692309</v>
      </c>
      <c r="D35" s="3">
        <v>405</v>
      </c>
      <c r="E35" s="3">
        <v>2073</v>
      </c>
      <c r="F35" s="3">
        <v>18093</v>
      </c>
      <c r="G35" s="3">
        <v>28</v>
      </c>
      <c r="H35" s="3">
        <v>425</v>
      </c>
      <c r="I35" s="3">
        <v>241</v>
      </c>
      <c r="J35" s="8">
        <v>11403328.974615386</v>
      </c>
      <c r="K35" s="4">
        <v>0.18178902008480541</v>
      </c>
      <c r="L35" s="4">
        <v>2.1134179373100869E-2</v>
      </c>
      <c r="M35" s="11">
        <v>28156.367838556507</v>
      </c>
      <c r="N35" s="8">
        <f>(Population__2_1[[#This Row],[Doctors_Senctioned]]-Population__2_1[[#This Row],[Docotrs_in_Position]])/Population__2_1[[#This Row],[Doctors_Senctioned]]</f>
        <v>0.43294117647058822</v>
      </c>
      <c r="O35" s="4">
        <f>Population__2_1[[#This Row],[Dengue_Cases_2019_to_2024]]/Population__2_1[[#This Row],[Projected_Population]]</f>
        <v>1.5866419394087721E-3</v>
      </c>
      <c r="P35" s="8">
        <f>Population__2_1[[#This Row],[Dengue_Deaths_2019 to 2024]]/Population__2_1[[#This Row],[Dengue_Cases_2019_to_2024]]</f>
        <v>1.5475598297684187E-3</v>
      </c>
    </row>
    <row r="36" spans="1:16" x14ac:dyDescent="0.3">
      <c r="A36" s="3" t="s">
        <v>36</v>
      </c>
      <c r="B36" s="3">
        <v>82519780</v>
      </c>
      <c r="C36" s="3">
        <v>0.13508124999999999</v>
      </c>
      <c r="D36" s="3">
        <v>22</v>
      </c>
      <c r="E36" s="3">
        <v>1150</v>
      </c>
      <c r="F36" s="3">
        <v>111825</v>
      </c>
      <c r="G36" s="3">
        <v>41</v>
      </c>
      <c r="H36" s="3">
        <v>1268</v>
      </c>
      <c r="I36" s="3">
        <v>1016</v>
      </c>
      <c r="J36" s="8">
        <v>93666655.032124996</v>
      </c>
      <c r="K36" s="4">
        <v>1.2277581596199658E-2</v>
      </c>
      <c r="L36" s="4">
        <v>1.0846976436294654E-2</v>
      </c>
      <c r="M36" s="11">
        <v>4257575.2287329547</v>
      </c>
      <c r="N36" s="8">
        <f>(Population__2_1[[#This Row],[Doctors_Senctioned]]-Population__2_1[[#This Row],[Docotrs_in_Position]])/Population__2_1[[#This Row],[Doctors_Senctioned]]</f>
        <v>0.19873817034700317</v>
      </c>
      <c r="O36" s="4">
        <f>Population__2_1[[#This Row],[Dengue_Cases_2019_to_2024]]/Population__2_1[[#This Row],[Projected_Population]]</f>
        <v>1.1938613582565451E-3</v>
      </c>
      <c r="P36" s="8">
        <f>Population__2_1[[#This Row],[Dengue_Deaths_2019 to 2024]]/Population__2_1[[#This Row],[Dengue_Cases_2019_to_2024]]</f>
        <v>3.6664431030628214E-4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D586E8-BD8E-4A31-A576-62F3FBB6F783}">
  <dimension ref="A1:I143"/>
  <sheetViews>
    <sheetView topLeftCell="A114" workbookViewId="0">
      <selection activeCell="B9" sqref="B9"/>
    </sheetView>
  </sheetViews>
  <sheetFormatPr defaultRowHeight="14.4" x14ac:dyDescent="0.3"/>
  <cols>
    <col min="2" max="2" width="23.6640625" bestFit="1" customWidth="1"/>
    <col min="3" max="3" width="31.44140625" bestFit="1" customWidth="1"/>
    <col min="4" max="4" width="31.33203125" bestFit="1" customWidth="1"/>
    <col min="5" max="5" width="30.44140625" bestFit="1" customWidth="1"/>
    <col min="6" max="6" width="31.33203125" bestFit="1" customWidth="1"/>
    <col min="7" max="7" width="25.21875" bestFit="1" customWidth="1"/>
    <col min="8" max="8" width="16.6640625" customWidth="1"/>
    <col min="9" max="9" width="16.33203125" customWidth="1"/>
    <col min="10" max="10" width="18.77734375" bestFit="1" customWidth="1"/>
    <col min="11" max="11" width="18.44140625" bestFit="1" customWidth="1"/>
  </cols>
  <sheetData>
    <row r="1" spans="2:8" ht="15" customHeight="1" thickBot="1" x14ac:dyDescent="0.35">
      <c r="C1" s="16"/>
      <c r="E1" s="16"/>
      <c r="G1" s="16"/>
    </row>
    <row r="2" spans="2:8" ht="15" thickTop="1" x14ac:dyDescent="0.3">
      <c r="B2" s="15"/>
      <c r="D2" s="17"/>
      <c r="F2" s="17"/>
      <c r="G2" s="18"/>
    </row>
    <row r="3" spans="2:8" x14ac:dyDescent="0.3">
      <c r="B3" s="51" t="s">
        <v>121</v>
      </c>
      <c r="C3" s="52"/>
      <c r="D3" s="52"/>
      <c r="E3" s="52"/>
      <c r="F3" s="52"/>
      <c r="G3" s="53"/>
    </row>
    <row r="4" spans="2:8" x14ac:dyDescent="0.3">
      <c r="B4" s="42" t="s">
        <v>110</v>
      </c>
      <c r="C4" s="13" t="s">
        <v>126</v>
      </c>
      <c r="D4" s="34" t="s">
        <v>116</v>
      </c>
      <c r="E4" s="36" t="s">
        <v>117</v>
      </c>
      <c r="F4" s="13" t="s">
        <v>129</v>
      </c>
      <c r="G4" s="42" t="s">
        <v>118</v>
      </c>
    </row>
    <row r="5" spans="2:8" x14ac:dyDescent="0.3">
      <c r="B5" s="34">
        <v>8.4405824734178451E-3</v>
      </c>
      <c r="C5" s="35">
        <v>42041</v>
      </c>
      <c r="D5" s="35">
        <v>1.5868295050025547E-2</v>
      </c>
      <c r="E5" s="35">
        <v>14068934.267745454</v>
      </c>
      <c r="F5" s="35">
        <v>110</v>
      </c>
      <c r="G5" s="36">
        <v>0.14051973051010588</v>
      </c>
    </row>
    <row r="6" spans="2:8" x14ac:dyDescent="0.3">
      <c r="B6" s="14"/>
      <c r="G6" s="18"/>
      <c r="H6" s="9"/>
    </row>
    <row r="7" spans="2:8" x14ac:dyDescent="0.3">
      <c r="B7" s="14" t="s">
        <v>119</v>
      </c>
      <c r="C7" t="s">
        <v>105</v>
      </c>
      <c r="D7" t="s">
        <v>136</v>
      </c>
      <c r="E7" t="s">
        <v>120</v>
      </c>
      <c r="F7" t="s">
        <v>137</v>
      </c>
      <c r="G7" s="18" t="s">
        <v>138</v>
      </c>
    </row>
    <row r="8" spans="2:8" x14ac:dyDescent="0.3">
      <c r="B8" s="49">
        <f>GETPIVOTDATA("Average of Beds_per_1000",$B$4)</f>
        <v>8.4405824734178451E-3</v>
      </c>
      <c r="C8" s="50">
        <f>GETPIVOTDATA("Average of Doctors_per_1000",$B$4)</f>
        <v>1.5868295050025547E-2</v>
      </c>
      <c r="D8" s="43">
        <f>GETPIVOTDATA("Sum of Dengue_Cases_2019_to_2024",$B$4)</f>
        <v>42041</v>
      </c>
      <c r="E8" s="2">
        <f>GETPIVOTDATA("Average of Doctor Shortage %",$B$4)</f>
        <v>0.14051973051010588</v>
      </c>
      <c r="F8" s="44">
        <f>GETPIVOTDATA("Average of Population_per_hospital",$B$4)</f>
        <v>14068934.267745454</v>
      </c>
      <c r="G8" s="45">
        <f>GETPIVOTDATA("Sum of Dengue_Deaths_2019 to 2024",$B$4)</f>
        <v>110</v>
      </c>
    </row>
    <row r="9" spans="2:8" ht="15" thickBot="1" x14ac:dyDescent="0.35">
      <c r="B9" s="19"/>
      <c r="C9" s="16"/>
      <c r="D9" s="16"/>
      <c r="E9" s="16"/>
      <c r="F9" s="16"/>
      <c r="G9" s="20"/>
    </row>
    <row r="10" spans="2:8" ht="15" thickTop="1" x14ac:dyDescent="0.3"/>
    <row r="12" spans="2:8" ht="15" thickBot="1" x14ac:dyDescent="0.35"/>
    <row r="13" spans="2:8" x14ac:dyDescent="0.3">
      <c r="B13" s="24"/>
      <c r="C13" s="25"/>
      <c r="D13" s="25"/>
      <c r="E13" s="25"/>
      <c r="F13" s="25"/>
      <c r="G13" s="25"/>
      <c r="H13" s="26"/>
    </row>
    <row r="14" spans="2:8" x14ac:dyDescent="0.3">
      <c r="B14" s="27"/>
      <c r="C14" s="23"/>
      <c r="D14" s="23" t="s">
        <v>127</v>
      </c>
      <c r="E14" s="23"/>
      <c r="F14" s="23"/>
      <c r="G14" s="23"/>
      <c r="H14" s="28"/>
    </row>
    <row r="15" spans="2:8" x14ac:dyDescent="0.3">
      <c r="B15" s="27"/>
      <c r="H15" s="28"/>
    </row>
    <row r="16" spans="2:8" x14ac:dyDescent="0.3">
      <c r="B16" s="27"/>
      <c r="H16" s="28"/>
    </row>
    <row r="17" spans="2:8" x14ac:dyDescent="0.3">
      <c r="B17" s="27"/>
      <c r="C17" s="21" t="s">
        <v>122</v>
      </c>
      <c r="D17" t="s">
        <v>130</v>
      </c>
      <c r="E17" t="s">
        <v>124</v>
      </c>
      <c r="F17" t="s">
        <v>125</v>
      </c>
      <c r="H17" s="28"/>
    </row>
    <row r="18" spans="2:8" x14ac:dyDescent="0.3">
      <c r="B18" s="27"/>
      <c r="C18" s="22" t="s">
        <v>20</v>
      </c>
      <c r="D18">
        <v>62114490.648214288</v>
      </c>
      <c r="E18">
        <v>213</v>
      </c>
      <c r="F18">
        <v>10195</v>
      </c>
      <c r="H18" s="28"/>
    </row>
    <row r="19" spans="2:8" x14ac:dyDescent="0.3">
      <c r="B19" s="27"/>
      <c r="C19" s="22" t="s">
        <v>21</v>
      </c>
      <c r="D19">
        <v>31784668.85653846</v>
      </c>
      <c r="E19">
        <v>162</v>
      </c>
      <c r="F19">
        <v>4054</v>
      </c>
      <c r="H19" s="28"/>
    </row>
    <row r="20" spans="2:8" x14ac:dyDescent="0.3">
      <c r="B20" s="27"/>
      <c r="C20" s="22" t="s">
        <v>32</v>
      </c>
      <c r="D20">
        <v>79621666.650580645</v>
      </c>
      <c r="E20">
        <v>293</v>
      </c>
      <c r="F20">
        <v>2381</v>
      </c>
      <c r="H20" s="28"/>
    </row>
    <row r="21" spans="2:8" x14ac:dyDescent="0.3">
      <c r="B21" s="27"/>
      <c r="C21" s="22" t="s">
        <v>34</v>
      </c>
      <c r="D21">
        <v>232978236.18652174</v>
      </c>
      <c r="E21">
        <v>2316</v>
      </c>
      <c r="F21">
        <v>11461</v>
      </c>
      <c r="H21" s="28"/>
    </row>
    <row r="22" spans="2:8" x14ac:dyDescent="0.3">
      <c r="B22" s="27"/>
      <c r="C22" s="22" t="s">
        <v>35</v>
      </c>
      <c r="D22">
        <v>11403328.974615386</v>
      </c>
      <c r="E22">
        <v>405</v>
      </c>
      <c r="F22">
        <v>2073</v>
      </c>
      <c r="H22" s="28"/>
    </row>
    <row r="23" spans="2:8" x14ac:dyDescent="0.3">
      <c r="B23" s="27"/>
      <c r="C23" s="22" t="s">
        <v>123</v>
      </c>
      <c r="D23">
        <v>417902391.31647056</v>
      </c>
      <c r="E23">
        <v>3389</v>
      </c>
      <c r="F23">
        <v>30164</v>
      </c>
      <c r="H23" s="28"/>
    </row>
    <row r="24" spans="2:8" x14ac:dyDescent="0.3">
      <c r="B24" s="27"/>
      <c r="H24" s="28"/>
    </row>
    <row r="25" spans="2:8" x14ac:dyDescent="0.3">
      <c r="B25" s="27"/>
      <c r="H25" s="28"/>
    </row>
    <row r="26" spans="2:8" x14ac:dyDescent="0.3">
      <c r="B26" s="27"/>
      <c r="H26" s="28"/>
    </row>
    <row r="27" spans="2:8" x14ac:dyDescent="0.3">
      <c r="B27" s="27"/>
      <c r="H27" s="28"/>
    </row>
    <row r="28" spans="2:8" x14ac:dyDescent="0.3">
      <c r="B28" s="27"/>
      <c r="H28" s="28"/>
    </row>
    <row r="29" spans="2:8" x14ac:dyDescent="0.3">
      <c r="B29" s="27"/>
      <c r="H29" s="28"/>
    </row>
    <row r="30" spans="2:8" x14ac:dyDescent="0.3">
      <c r="B30" s="27"/>
      <c r="H30" s="28"/>
    </row>
    <row r="31" spans="2:8" x14ac:dyDescent="0.3">
      <c r="B31" s="27"/>
      <c r="H31" s="28"/>
    </row>
    <row r="32" spans="2:8" x14ac:dyDescent="0.3">
      <c r="B32" s="27"/>
      <c r="H32" s="28"/>
    </row>
    <row r="33" spans="2:8" x14ac:dyDescent="0.3">
      <c r="B33" s="27"/>
      <c r="H33" s="28"/>
    </row>
    <row r="34" spans="2:8" x14ac:dyDescent="0.3">
      <c r="B34" s="27"/>
      <c r="H34" s="28"/>
    </row>
    <row r="35" spans="2:8" ht="15" thickBot="1" x14ac:dyDescent="0.35">
      <c r="B35" s="29"/>
      <c r="H35" s="31"/>
    </row>
    <row r="50" spans="2:6" ht="15" thickBot="1" x14ac:dyDescent="0.35"/>
    <row r="51" spans="2:6" x14ac:dyDescent="0.3">
      <c r="B51" s="24"/>
    </row>
    <row r="52" spans="2:6" x14ac:dyDescent="0.3">
      <c r="B52" s="27"/>
    </row>
    <row r="53" spans="2:6" x14ac:dyDescent="0.3">
      <c r="B53" s="27"/>
    </row>
    <row r="54" spans="2:6" x14ac:dyDescent="0.3">
      <c r="B54" s="27"/>
      <c r="C54" s="22"/>
    </row>
    <row r="55" spans="2:6" x14ac:dyDescent="0.3">
      <c r="B55" s="27"/>
      <c r="C55" s="22"/>
    </row>
    <row r="56" spans="2:6" x14ac:dyDescent="0.3">
      <c r="B56" s="27"/>
      <c r="C56" s="22"/>
    </row>
    <row r="57" spans="2:6" x14ac:dyDescent="0.3">
      <c r="B57" s="27"/>
      <c r="C57" s="22"/>
    </row>
    <row r="58" spans="2:6" x14ac:dyDescent="0.3">
      <c r="B58" s="27"/>
      <c r="C58" s="21" t="s">
        <v>58</v>
      </c>
      <c r="D58" t="s">
        <v>11</v>
      </c>
      <c r="F58" s="28"/>
    </row>
    <row r="59" spans="2:6" x14ac:dyDescent="0.3">
      <c r="F59" s="28"/>
    </row>
    <row r="60" spans="2:6" x14ac:dyDescent="0.3">
      <c r="B60" s="27"/>
      <c r="C60" t="s">
        <v>126</v>
      </c>
      <c r="D60" t="s">
        <v>129</v>
      </c>
      <c r="F60" s="28"/>
    </row>
    <row r="61" spans="2:6" x14ac:dyDescent="0.3">
      <c r="B61" s="27"/>
      <c r="C61">
        <v>42041</v>
      </c>
      <c r="D61">
        <v>110</v>
      </c>
      <c r="F61" s="28"/>
    </row>
    <row r="62" spans="2:6" x14ac:dyDescent="0.3">
      <c r="B62" s="27"/>
      <c r="F62" s="28"/>
    </row>
    <row r="63" spans="2:6" x14ac:dyDescent="0.3">
      <c r="B63" s="27"/>
      <c r="F63" s="28"/>
    </row>
    <row r="64" spans="2:6" x14ac:dyDescent="0.3">
      <c r="B64" s="27"/>
      <c r="F64" s="28"/>
    </row>
    <row r="65" spans="2:6" x14ac:dyDescent="0.3">
      <c r="B65" s="27"/>
      <c r="F65" s="28"/>
    </row>
    <row r="66" spans="2:6" x14ac:dyDescent="0.3">
      <c r="B66" s="27"/>
      <c r="F66" s="28"/>
    </row>
    <row r="67" spans="2:6" x14ac:dyDescent="0.3">
      <c r="B67" s="27"/>
      <c r="F67" s="28"/>
    </row>
    <row r="68" spans="2:6" x14ac:dyDescent="0.3">
      <c r="B68" s="27"/>
      <c r="F68" s="28"/>
    </row>
    <row r="69" spans="2:6" x14ac:dyDescent="0.3">
      <c r="B69" s="27"/>
      <c r="F69" s="28"/>
    </row>
    <row r="70" spans="2:6" x14ac:dyDescent="0.3">
      <c r="B70" s="27"/>
      <c r="F70" s="28"/>
    </row>
    <row r="71" spans="2:6" x14ac:dyDescent="0.3">
      <c r="B71" s="27"/>
      <c r="F71" s="28"/>
    </row>
    <row r="72" spans="2:6" x14ac:dyDescent="0.3">
      <c r="B72" s="27"/>
      <c r="F72" s="28"/>
    </row>
    <row r="73" spans="2:6" x14ac:dyDescent="0.3">
      <c r="B73" s="27"/>
      <c r="F73" s="28"/>
    </row>
    <row r="74" spans="2:6" x14ac:dyDescent="0.3">
      <c r="B74" s="27"/>
      <c r="F74" s="28"/>
    </row>
    <row r="75" spans="2:6" x14ac:dyDescent="0.3">
      <c r="B75" s="27"/>
      <c r="F75" s="28"/>
    </row>
    <row r="76" spans="2:6" x14ac:dyDescent="0.3">
      <c r="B76" s="27"/>
      <c r="F76" s="28"/>
    </row>
    <row r="77" spans="2:6" ht="15" thickBot="1" x14ac:dyDescent="0.35">
      <c r="B77" s="29"/>
      <c r="C77" s="30"/>
      <c r="D77" s="30"/>
      <c r="E77" s="30"/>
      <c r="F77" s="31"/>
    </row>
    <row r="81" spans="1:5" ht="15" thickBot="1" x14ac:dyDescent="0.35"/>
    <row r="82" spans="1:5" x14ac:dyDescent="0.3">
      <c r="A82" s="24"/>
      <c r="B82" s="25"/>
      <c r="C82" s="25"/>
      <c r="D82" s="25"/>
      <c r="E82" s="26"/>
    </row>
    <row r="83" spans="1:5" x14ac:dyDescent="0.3">
      <c r="A83" s="27"/>
      <c r="E83" s="28"/>
    </row>
    <row r="84" spans="1:5" ht="15" thickBot="1" x14ac:dyDescent="0.35">
      <c r="A84" s="27"/>
      <c r="B84" s="52" t="s">
        <v>132</v>
      </c>
      <c r="C84" s="52"/>
      <c r="D84" s="52"/>
      <c r="E84" s="28"/>
    </row>
    <row r="85" spans="1:5" ht="15" thickBot="1" x14ac:dyDescent="0.35">
      <c r="A85" s="27"/>
      <c r="B85" s="33" t="s">
        <v>128</v>
      </c>
      <c r="C85" s="32" t="s">
        <v>131</v>
      </c>
      <c r="E85" s="28"/>
    </row>
    <row r="86" spans="1:5" ht="15" thickBot="1" x14ac:dyDescent="0.35">
      <c r="A86" s="27"/>
      <c r="B86" s="33">
        <v>1786</v>
      </c>
      <c r="C86" s="32">
        <v>2078</v>
      </c>
      <c r="E86" s="28"/>
    </row>
    <row r="87" spans="1:5" x14ac:dyDescent="0.3">
      <c r="A87" s="27"/>
      <c r="E87" s="28"/>
    </row>
    <row r="88" spans="1:5" x14ac:dyDescent="0.3">
      <c r="A88" s="27"/>
      <c r="E88" s="28"/>
    </row>
    <row r="89" spans="1:5" x14ac:dyDescent="0.3">
      <c r="A89" s="27"/>
      <c r="E89" s="28"/>
    </row>
    <row r="90" spans="1:5" x14ac:dyDescent="0.3">
      <c r="A90" s="27"/>
      <c r="E90" s="28"/>
    </row>
    <row r="91" spans="1:5" x14ac:dyDescent="0.3">
      <c r="A91" s="27"/>
      <c r="E91" s="28"/>
    </row>
    <row r="92" spans="1:5" x14ac:dyDescent="0.3">
      <c r="A92" s="27"/>
      <c r="E92" s="28"/>
    </row>
    <row r="93" spans="1:5" x14ac:dyDescent="0.3">
      <c r="A93" s="27"/>
      <c r="E93" s="28"/>
    </row>
    <row r="94" spans="1:5" x14ac:dyDescent="0.3">
      <c r="A94" s="27"/>
      <c r="E94" s="28"/>
    </row>
    <row r="95" spans="1:5" x14ac:dyDescent="0.3">
      <c r="A95" s="27"/>
      <c r="E95" s="28"/>
    </row>
    <row r="96" spans="1:5" x14ac:dyDescent="0.3">
      <c r="A96" s="27"/>
      <c r="E96" s="28"/>
    </row>
    <row r="97" spans="1:6" x14ac:dyDescent="0.3">
      <c r="A97" s="27"/>
      <c r="E97" s="28"/>
    </row>
    <row r="98" spans="1:6" x14ac:dyDescent="0.3">
      <c r="A98" s="27"/>
      <c r="E98" s="28"/>
    </row>
    <row r="99" spans="1:6" x14ac:dyDescent="0.3">
      <c r="A99" s="27"/>
      <c r="E99" s="28"/>
    </row>
    <row r="100" spans="1:6" x14ac:dyDescent="0.3">
      <c r="A100" s="27"/>
      <c r="E100" s="28"/>
    </row>
    <row r="101" spans="1:6" x14ac:dyDescent="0.3">
      <c r="A101" s="27"/>
      <c r="E101" s="28"/>
    </row>
    <row r="102" spans="1:6" x14ac:dyDescent="0.3">
      <c r="A102" s="27"/>
      <c r="E102" s="28"/>
    </row>
    <row r="103" spans="1:6" ht="15" thickBot="1" x14ac:dyDescent="0.35">
      <c r="A103" s="29"/>
      <c r="B103" s="30"/>
      <c r="C103" s="30"/>
      <c r="D103" s="30"/>
      <c r="E103" s="31"/>
    </row>
    <row r="106" spans="1:6" ht="15" thickBot="1" x14ac:dyDescent="0.35"/>
    <row r="107" spans="1:6" x14ac:dyDescent="0.3">
      <c r="B107" s="24"/>
      <c r="C107" s="25"/>
      <c r="D107" s="25"/>
      <c r="E107" s="25"/>
      <c r="F107" s="26"/>
    </row>
    <row r="108" spans="1:6" x14ac:dyDescent="0.3">
      <c r="B108" s="27"/>
      <c r="F108" s="28"/>
    </row>
    <row r="109" spans="1:6" x14ac:dyDescent="0.3">
      <c r="B109" s="27"/>
      <c r="F109" s="28"/>
    </row>
    <row r="110" spans="1:6" x14ac:dyDescent="0.3">
      <c r="B110" s="27"/>
      <c r="F110" s="37"/>
    </row>
    <row r="111" spans="1:6" x14ac:dyDescent="0.3">
      <c r="B111" s="27"/>
      <c r="F111" s="28"/>
    </row>
    <row r="112" spans="1:6" x14ac:dyDescent="0.3">
      <c r="B112" s="27"/>
      <c r="F112" s="28"/>
    </row>
    <row r="113" spans="2:6" x14ac:dyDescent="0.3">
      <c r="B113" s="27"/>
      <c r="F113" s="28"/>
    </row>
    <row r="114" spans="2:6" x14ac:dyDescent="0.3">
      <c r="B114" s="27"/>
      <c r="F114" s="28"/>
    </row>
    <row r="115" spans="2:6" x14ac:dyDescent="0.3">
      <c r="B115" s="27"/>
      <c r="F115" s="28"/>
    </row>
    <row r="116" spans="2:6" x14ac:dyDescent="0.3">
      <c r="B116" s="27"/>
      <c r="F116" s="28"/>
    </row>
    <row r="117" spans="2:6" x14ac:dyDescent="0.3">
      <c r="B117" s="27"/>
      <c r="F117" s="28"/>
    </row>
    <row r="118" spans="2:6" x14ac:dyDescent="0.3">
      <c r="B118" s="27"/>
      <c r="F118" s="28"/>
    </row>
    <row r="119" spans="2:6" x14ac:dyDescent="0.3">
      <c r="B119" s="27"/>
      <c r="F119" s="28"/>
    </row>
    <row r="120" spans="2:6" x14ac:dyDescent="0.3">
      <c r="B120" s="27"/>
      <c r="F120" s="28"/>
    </row>
    <row r="121" spans="2:6" x14ac:dyDescent="0.3">
      <c r="B121" s="27"/>
      <c r="F121" s="28"/>
    </row>
    <row r="122" spans="2:6" x14ac:dyDescent="0.3">
      <c r="B122" s="27"/>
      <c r="F122" s="28"/>
    </row>
    <row r="123" spans="2:6" x14ac:dyDescent="0.3">
      <c r="B123" s="27"/>
      <c r="F123" s="28"/>
    </row>
    <row r="124" spans="2:6" x14ac:dyDescent="0.3">
      <c r="B124" s="27"/>
      <c r="F124" s="28"/>
    </row>
    <row r="125" spans="2:6" ht="15" thickBot="1" x14ac:dyDescent="0.35">
      <c r="B125" s="29"/>
      <c r="C125" s="30"/>
      <c r="D125" s="30"/>
      <c r="E125" s="30"/>
      <c r="F125" s="31"/>
    </row>
    <row r="129" spans="2:9" x14ac:dyDescent="0.3">
      <c r="B129" s="54" t="s">
        <v>134</v>
      </c>
      <c r="C129" s="52"/>
      <c r="D129" s="52"/>
      <c r="E129" s="52"/>
      <c r="F129" s="52"/>
    </row>
    <row r="130" spans="2:9" x14ac:dyDescent="0.3">
      <c r="B130" s="21" t="s">
        <v>122</v>
      </c>
      <c r="C130" t="s">
        <v>109</v>
      </c>
      <c r="D130" t="s">
        <v>113</v>
      </c>
      <c r="E130" t="s">
        <v>115</v>
      </c>
      <c r="F130" t="s">
        <v>114</v>
      </c>
    </row>
    <row r="131" spans="2:9" x14ac:dyDescent="0.3">
      <c r="B131" s="22" t="s">
        <v>38</v>
      </c>
      <c r="C131" s="2">
        <v>6.4678772411937438E-2</v>
      </c>
      <c r="D131" s="2">
        <v>0</v>
      </c>
      <c r="E131" s="2">
        <v>2.8385896242289041E-3</v>
      </c>
      <c r="F131" s="2">
        <v>1</v>
      </c>
    </row>
    <row r="132" spans="2:9" x14ac:dyDescent="0.3">
      <c r="B132" s="22" t="s">
        <v>12</v>
      </c>
      <c r="C132" s="2">
        <v>2.7394420386351325E-2</v>
      </c>
      <c r="D132" s="2">
        <v>1.1707853474643008E-2</v>
      </c>
      <c r="E132" s="2">
        <v>2.3206987555866195E-4</v>
      </c>
      <c r="F132" s="2">
        <v>0.54728877679697352</v>
      </c>
    </row>
    <row r="133" spans="2:9" x14ac:dyDescent="0.3">
      <c r="B133" s="22" t="s">
        <v>18</v>
      </c>
      <c r="C133" s="2">
        <v>4.8122784703638101E-3</v>
      </c>
      <c r="D133" s="2">
        <v>4.4529616779099793E-2</v>
      </c>
      <c r="E133" s="2">
        <v>1.0828909832577337E-3</v>
      </c>
      <c r="F133" s="2">
        <v>0.48478099480326653</v>
      </c>
    </row>
    <row r="134" spans="2:9" x14ac:dyDescent="0.3">
      <c r="B134" s="22" t="s">
        <v>26</v>
      </c>
      <c r="C134" s="2">
        <v>7.3295807475189281E-2</v>
      </c>
      <c r="D134" s="2">
        <v>4.3244526410361681E-2</v>
      </c>
      <c r="E134" s="2">
        <v>3.1912994574697416E-3</v>
      </c>
      <c r="F134" s="2">
        <v>0.61184210526315785</v>
      </c>
    </row>
    <row r="135" spans="2:9" x14ac:dyDescent="0.3">
      <c r="B135" s="22" t="s">
        <v>34</v>
      </c>
      <c r="C135" s="2">
        <v>4.9193436209313365E-2</v>
      </c>
      <c r="D135" s="2">
        <v>5.7687791872713693E-3</v>
      </c>
      <c r="E135" s="2">
        <v>4.2744765189256441E-4</v>
      </c>
      <c r="F135" s="2">
        <v>0.70192947438456421</v>
      </c>
    </row>
    <row r="136" spans="2:9" x14ac:dyDescent="0.3">
      <c r="B136" s="22" t="s">
        <v>123</v>
      </c>
      <c r="C136">
        <v>0.21937471495315525</v>
      </c>
      <c r="D136">
        <v>0.10525077585137585</v>
      </c>
      <c r="E136">
        <v>7.7722975924076057E-3</v>
      </c>
      <c r="F136">
        <v>3.3458413512479623</v>
      </c>
    </row>
    <row r="137" spans="2:9" ht="15" thickBot="1" x14ac:dyDescent="0.35"/>
    <row r="138" spans="2:9" ht="15.6" thickTop="1" thickBot="1" x14ac:dyDescent="0.35">
      <c r="E138" s="48" t="s">
        <v>84</v>
      </c>
      <c r="F138" s="48" t="s">
        <v>135</v>
      </c>
      <c r="G138" s="48" t="s">
        <v>108</v>
      </c>
      <c r="H138" s="48" t="s">
        <v>133</v>
      </c>
      <c r="I138" s="48" t="s">
        <v>120</v>
      </c>
    </row>
    <row r="139" spans="2:9" ht="16.2" thickTop="1" x14ac:dyDescent="0.3">
      <c r="E139" s="46" t="str">
        <f>B131</f>
        <v>Chandigarh</v>
      </c>
      <c r="F139" s="38">
        <f>GETPIVOTDATA("Sum of Beds_per_1000",$B$130,"States",E139)</f>
        <v>6.4678772411937438E-2</v>
      </c>
      <c r="G139" s="38">
        <f>GETPIVOTDATA("Sum of Doctors_per_1000",$B$130,"States",E139)</f>
        <v>0</v>
      </c>
      <c r="H139" s="38">
        <f>GETPIVOTDATA("Sum of Dengue_Case_Rate",$B$130,"States",E139)</f>
        <v>2.8385896242289041E-3</v>
      </c>
      <c r="I139" s="39">
        <f>GETPIVOTDATA("Sum of Doctor Shortage %",$B$130,"States",E139)</f>
        <v>1</v>
      </c>
    </row>
    <row r="140" spans="2:9" ht="15.6" x14ac:dyDescent="0.3">
      <c r="E140" s="46" t="str">
        <f>B132</f>
        <v>Chhattisgarh</v>
      </c>
      <c r="F140" s="38">
        <f>GETPIVOTDATA("Sum of Beds_per_1000",$B$130,"States",E140)</f>
        <v>2.7394420386351325E-2</v>
      </c>
      <c r="G140" s="38">
        <f>GETPIVOTDATA("Sum of Doctors_per_1000",$B$130,"States",E140)</f>
        <v>1.1707853474643008E-2</v>
      </c>
      <c r="H140" s="38">
        <f>GETPIVOTDATA("Sum of Dengue_Case_Rate",$B$130,"States",E140)</f>
        <v>2.3206987555866195E-4</v>
      </c>
      <c r="I140" s="39">
        <f>GETPIVOTDATA("Sum of Doctor Shortage %",$B$130,"States",E140)</f>
        <v>0.54728877679697352</v>
      </c>
    </row>
    <row r="141" spans="2:9" ht="15.6" x14ac:dyDescent="0.3">
      <c r="E141" s="46" t="str">
        <f>B133</f>
        <v>Jammu &amp; Kashmir</v>
      </c>
      <c r="F141" s="38">
        <f>GETPIVOTDATA("Sum of Beds_per_1000",$B$130,"States",E141)</f>
        <v>4.8122784703638101E-3</v>
      </c>
      <c r="G141" s="38">
        <f>GETPIVOTDATA("Sum of Doctors_per_1000",$B$130,"States",E141)</f>
        <v>4.4529616779099793E-2</v>
      </c>
      <c r="H141" s="38">
        <f>GETPIVOTDATA("Sum of Dengue_Case_Rate",$B$130,"States",E141)</f>
        <v>1.0828909832577337E-3</v>
      </c>
      <c r="I141" s="39">
        <f>GETPIVOTDATA("Sum of Doctor Shortage %",$B$130,"States",E141)</f>
        <v>0.48478099480326653</v>
      </c>
    </row>
    <row r="142" spans="2:9" ht="15.6" x14ac:dyDescent="0.3">
      <c r="E142" s="46" t="str">
        <f>B134</f>
        <v>Mizoram</v>
      </c>
      <c r="F142" s="38">
        <f>GETPIVOTDATA("Sum of Beds_per_1000",$B$130,"States",E142)</f>
        <v>7.3295807475189281E-2</v>
      </c>
      <c r="G142" s="38">
        <f>GETPIVOTDATA("Sum of Doctors_per_1000",$B$130,"States",E142)</f>
        <v>4.3244526410361681E-2</v>
      </c>
      <c r="H142" s="38">
        <f>GETPIVOTDATA("Sum of Dengue_Case_Rate",$B$130,"States",E142)</f>
        <v>3.1912994574697416E-3</v>
      </c>
      <c r="I142" s="39">
        <f>GETPIVOTDATA("Sum of Doctor Shortage %",$B$130,"States",E142)</f>
        <v>0.61184210526315785</v>
      </c>
    </row>
    <row r="143" spans="2:9" ht="16.2" thickBot="1" x14ac:dyDescent="0.35">
      <c r="E143" s="47" t="str">
        <f>B135</f>
        <v>Uttar Pradesh</v>
      </c>
      <c r="F143" s="40">
        <f>GETPIVOTDATA("Sum of Beds_per_1000",$B$130,"States",E143)</f>
        <v>4.9193436209313365E-2</v>
      </c>
      <c r="G143" s="40">
        <f>GETPIVOTDATA("Sum of Doctors_per_1000",$B$130,"States",E143)</f>
        <v>5.7687791872713693E-3</v>
      </c>
      <c r="H143" s="40">
        <f>GETPIVOTDATA("Sum of Dengue_Case_Rate",$B$130,"States",E143)</f>
        <v>4.2744765189256441E-4</v>
      </c>
      <c r="I143" s="41">
        <f>GETPIVOTDATA("Sum of Doctor Shortage %",$B$130,"States",E143)</f>
        <v>0.70192947438456421</v>
      </c>
    </row>
  </sheetData>
  <mergeCells count="3">
    <mergeCell ref="B3:G3"/>
    <mergeCell ref="B84:D84"/>
    <mergeCell ref="B129:F129"/>
  </mergeCells>
  <conditionalFormatting pivot="1" sqref="C131:C135">
    <cfRule type="colorScale" priority="9">
      <colorScale>
        <cfvo type="min"/>
        <cfvo type="percentile" val="50"/>
        <cfvo type="max"/>
        <color rgb="FFF8696B"/>
        <color rgb="FFFFEB84"/>
        <color rgb="FF63BE7B"/>
      </colorScale>
    </cfRule>
  </conditionalFormatting>
  <conditionalFormatting pivot="1" sqref="D131:D135">
    <cfRule type="colorScale" priority="8">
      <colorScale>
        <cfvo type="min"/>
        <cfvo type="percentile" val="50"/>
        <cfvo type="max"/>
        <color rgb="FFF8696B"/>
        <color rgb="FFFFEB84"/>
        <color rgb="FF63BE7B"/>
      </colorScale>
    </cfRule>
  </conditionalFormatting>
  <conditionalFormatting pivot="1" sqref="E131:E135">
    <cfRule type="colorScale" priority="7">
      <colorScale>
        <cfvo type="min"/>
        <cfvo type="percentile" val="50"/>
        <cfvo type="max"/>
        <color rgb="FF63BE7B"/>
        <color rgb="FFFFEB84"/>
        <color rgb="FFF8696B"/>
      </colorScale>
    </cfRule>
  </conditionalFormatting>
  <conditionalFormatting pivot="1" sqref="F131:F135">
    <cfRule type="colorScale" priority="6">
      <colorScale>
        <cfvo type="min"/>
        <cfvo type="percentile" val="50"/>
        <cfvo type="max"/>
        <color rgb="FF63BE7B"/>
        <color rgb="FFFFEB84"/>
        <color rgb="FFF8696B"/>
      </colorScale>
    </cfRule>
  </conditionalFormatting>
  <conditionalFormatting sqref="H136:H137 H144:H165 F139:F143">
    <cfRule type="colorScale" priority="5">
      <colorScale>
        <cfvo type="min"/>
        <cfvo type="percentile" val="50"/>
        <cfvo type="max"/>
        <color rgb="FFF8696B"/>
        <color rgb="FFFFEB84"/>
        <color rgb="FF63BE7B"/>
      </colorScale>
    </cfRule>
  </conditionalFormatting>
  <conditionalFormatting sqref="I136:I137 I144:I165 G139:G143">
    <cfRule type="colorScale" priority="3">
      <colorScale>
        <cfvo type="min"/>
        <cfvo type="percentile" val="50"/>
        <cfvo type="max"/>
        <color rgb="FFF8696B"/>
        <color rgb="FFFFEB84"/>
        <color rgb="FF63BE7B"/>
      </colorScale>
    </cfRule>
  </conditionalFormatting>
  <conditionalFormatting sqref="J136:J165 H139:H143">
    <cfRule type="colorScale" priority="2">
      <colorScale>
        <cfvo type="min"/>
        <cfvo type="percentile" val="50"/>
        <cfvo type="max"/>
        <color rgb="FF63BE7B"/>
        <color rgb="FFFFEB84"/>
        <color rgb="FFF8696B"/>
      </colorScale>
    </cfRule>
  </conditionalFormatting>
  <conditionalFormatting sqref="K136:K165 I139:I143">
    <cfRule type="colorScale" priority="1">
      <colorScale>
        <cfvo type="min"/>
        <cfvo type="percentile" val="50"/>
        <cfvo type="max"/>
        <color rgb="FF63BE7B"/>
        <color rgb="FFFFEB84"/>
        <color rgb="FFF8696B"/>
      </colorScale>
    </cfRule>
  </conditionalFormatting>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22EDF-1922-4988-9404-83D9C3ABC81A}">
  <dimension ref="A1"/>
  <sheetViews>
    <sheetView workbookViewId="0">
      <selection activeCell="A22" sqref="A22"/>
    </sheetView>
  </sheetViews>
  <sheetFormatPr defaultRowHeight="14.4" x14ac:dyDescent="0.3"/>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5940B-DE5C-410E-9FF6-0EC1EBF115D3}">
  <dimension ref="A1"/>
  <sheetViews>
    <sheetView tabSelected="1" zoomScaleNormal="100" workbookViewId="0">
      <selection activeCell="A11" sqref="A11"/>
    </sheetView>
  </sheetViews>
  <sheetFormatPr defaultRowHeight="14.4" x14ac:dyDescent="0.3"/>
  <cols>
    <col min="1" max="1" width="6.109375" customWidth="1"/>
    <col min="2" max="2" width="4" customWidth="1"/>
    <col min="22" max="22" width="8.88671875" customWidth="1"/>
    <col min="23" max="23" width="4.44140625"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C941AE-C5BA-4B35-A2A4-2601663DE5F3}">
  <dimension ref="A1:C37"/>
  <sheetViews>
    <sheetView workbookViewId="0">
      <selection activeCell="A37" sqref="A37"/>
    </sheetView>
  </sheetViews>
  <sheetFormatPr defaultRowHeight="14.4" x14ac:dyDescent="0.3"/>
  <cols>
    <col min="1" max="1" width="23.33203125" bestFit="1" customWidth="1"/>
    <col min="2" max="2" width="20.109375" bestFit="1" customWidth="1"/>
    <col min="3" max="3" width="19.77734375" bestFit="1" customWidth="1"/>
    <col min="4" max="4" width="16.33203125" bestFit="1" customWidth="1"/>
    <col min="5" max="5" width="37.109375" bestFit="1" customWidth="1"/>
    <col min="6" max="6" width="36.33203125" bestFit="1" customWidth="1"/>
    <col min="7" max="7" width="24.33203125" bestFit="1" customWidth="1"/>
  </cols>
  <sheetData>
    <row r="1" spans="1:3" x14ac:dyDescent="0.3">
      <c r="A1" t="s">
        <v>58</v>
      </c>
      <c r="B1" t="s">
        <v>96</v>
      </c>
      <c r="C1" t="s">
        <v>97</v>
      </c>
    </row>
    <row r="2" spans="1:3" x14ac:dyDescent="0.3">
      <c r="A2" t="s">
        <v>8</v>
      </c>
      <c r="B2">
        <v>2267</v>
      </c>
      <c r="C2">
        <v>2045</v>
      </c>
    </row>
    <row r="3" spans="1:3" x14ac:dyDescent="0.3">
      <c r="A3" t="s">
        <v>9</v>
      </c>
      <c r="B3">
        <v>30</v>
      </c>
      <c r="C3">
        <v>125</v>
      </c>
    </row>
    <row r="4" spans="1:3" x14ac:dyDescent="0.3">
      <c r="A4" t="s">
        <v>10</v>
      </c>
      <c r="B4">
        <v>30</v>
      </c>
      <c r="C4">
        <v>1376</v>
      </c>
    </row>
    <row r="5" spans="1:3" x14ac:dyDescent="0.3">
      <c r="A5" t="s">
        <v>11</v>
      </c>
      <c r="B5">
        <v>2078</v>
      </c>
      <c r="C5">
        <v>1786</v>
      </c>
    </row>
    <row r="6" spans="1:3" x14ac:dyDescent="0.3">
      <c r="A6" t="s">
        <v>12</v>
      </c>
      <c r="B6">
        <v>793</v>
      </c>
      <c r="C6">
        <v>359</v>
      </c>
    </row>
    <row r="7" spans="1:3" x14ac:dyDescent="0.3">
      <c r="A7" t="s">
        <v>14</v>
      </c>
      <c r="B7">
        <v>48</v>
      </c>
      <c r="C7">
        <v>56</v>
      </c>
    </row>
    <row r="8" spans="1:3" x14ac:dyDescent="0.3">
      <c r="A8" t="s">
        <v>15</v>
      </c>
      <c r="B8">
        <v>1865</v>
      </c>
      <c r="C8">
        <v>1321</v>
      </c>
    </row>
    <row r="9" spans="1:3" x14ac:dyDescent="0.3">
      <c r="A9" t="s">
        <v>16</v>
      </c>
      <c r="B9">
        <v>551</v>
      </c>
      <c r="C9">
        <v>491</v>
      </c>
    </row>
    <row r="10" spans="1:3" x14ac:dyDescent="0.3">
      <c r="A10" t="s">
        <v>17</v>
      </c>
      <c r="B10">
        <v>636</v>
      </c>
      <c r="C10">
        <v>622</v>
      </c>
    </row>
    <row r="11" spans="1:3" x14ac:dyDescent="0.3">
      <c r="A11" t="s">
        <v>19</v>
      </c>
      <c r="B11">
        <v>556</v>
      </c>
      <c r="C11">
        <v>340</v>
      </c>
    </row>
    <row r="12" spans="1:3" x14ac:dyDescent="0.3">
      <c r="A12" t="s">
        <v>20</v>
      </c>
      <c r="B12">
        <v>2359</v>
      </c>
      <c r="C12">
        <v>2136</v>
      </c>
    </row>
    <row r="13" spans="1:3" x14ac:dyDescent="0.3">
      <c r="A13" t="s">
        <v>21</v>
      </c>
      <c r="B13">
        <v>1120</v>
      </c>
      <c r="C13">
        <v>1169</v>
      </c>
    </row>
    <row r="14" spans="1:3" x14ac:dyDescent="0.3">
      <c r="A14" t="s">
        <v>22</v>
      </c>
      <c r="B14">
        <v>1771</v>
      </c>
      <c r="C14">
        <v>1112</v>
      </c>
    </row>
    <row r="15" spans="1:3" x14ac:dyDescent="0.3">
      <c r="A15" t="s">
        <v>23</v>
      </c>
      <c r="B15">
        <v>3009</v>
      </c>
      <c r="C15">
        <v>2929</v>
      </c>
    </row>
    <row r="16" spans="1:3" x14ac:dyDescent="0.3">
      <c r="A16" t="s">
        <v>24</v>
      </c>
      <c r="B16">
        <v>238</v>
      </c>
      <c r="C16">
        <v>194</v>
      </c>
    </row>
    <row r="17" spans="1:3" x14ac:dyDescent="0.3">
      <c r="A17" t="s">
        <v>25</v>
      </c>
      <c r="B17">
        <v>128</v>
      </c>
      <c r="C17">
        <v>130</v>
      </c>
    </row>
    <row r="18" spans="1:3" x14ac:dyDescent="0.3">
      <c r="A18" t="s">
        <v>26</v>
      </c>
      <c r="B18">
        <v>152</v>
      </c>
      <c r="C18">
        <v>59</v>
      </c>
    </row>
    <row r="19" spans="1:3" x14ac:dyDescent="0.3">
      <c r="A19" t="s">
        <v>27</v>
      </c>
      <c r="B19">
        <v>108</v>
      </c>
      <c r="C19">
        <v>118</v>
      </c>
    </row>
    <row r="20" spans="1:3" x14ac:dyDescent="0.3">
      <c r="A20" t="s">
        <v>28</v>
      </c>
      <c r="B20">
        <v>1326</v>
      </c>
      <c r="C20">
        <v>917</v>
      </c>
    </row>
    <row r="21" spans="1:3" x14ac:dyDescent="0.3">
      <c r="A21" t="s">
        <v>29</v>
      </c>
      <c r="B21">
        <v>593</v>
      </c>
      <c r="C21">
        <v>480</v>
      </c>
    </row>
    <row r="22" spans="1:3" x14ac:dyDescent="0.3">
      <c r="A22" t="s">
        <v>30</v>
      </c>
      <c r="B22">
        <v>2751</v>
      </c>
      <c r="C22">
        <v>2396</v>
      </c>
    </row>
    <row r="23" spans="1:3" x14ac:dyDescent="0.3">
      <c r="A23" t="s">
        <v>31</v>
      </c>
      <c r="B23">
        <v>30</v>
      </c>
      <c r="C23">
        <v>24</v>
      </c>
    </row>
    <row r="24" spans="1:3" x14ac:dyDescent="0.3">
      <c r="A24" t="s">
        <v>32</v>
      </c>
      <c r="B24">
        <v>3136</v>
      </c>
      <c r="C24">
        <v>2780</v>
      </c>
    </row>
    <row r="25" spans="1:3" x14ac:dyDescent="0.3">
      <c r="A25" t="s">
        <v>43</v>
      </c>
      <c r="B25">
        <v>1254</v>
      </c>
      <c r="C25">
        <v>1066</v>
      </c>
    </row>
    <row r="26" spans="1:3" x14ac:dyDescent="0.3">
      <c r="A26" t="s">
        <v>33</v>
      </c>
      <c r="B26">
        <v>132</v>
      </c>
      <c r="C26">
        <v>119</v>
      </c>
    </row>
    <row r="27" spans="1:3" x14ac:dyDescent="0.3">
      <c r="A27" t="s">
        <v>34</v>
      </c>
      <c r="B27">
        <v>4509</v>
      </c>
      <c r="C27">
        <v>1344</v>
      </c>
    </row>
    <row r="28" spans="1:3" x14ac:dyDescent="0.3">
      <c r="A28" t="s">
        <v>35</v>
      </c>
      <c r="B28">
        <v>425</v>
      </c>
      <c r="C28">
        <v>241</v>
      </c>
    </row>
    <row r="29" spans="1:3" x14ac:dyDescent="0.3">
      <c r="A29" t="s">
        <v>36</v>
      </c>
      <c r="B29">
        <v>1268</v>
      </c>
      <c r="C29">
        <v>1016</v>
      </c>
    </row>
    <row r="30" spans="1:3" x14ac:dyDescent="0.3">
      <c r="A30" t="s">
        <v>13</v>
      </c>
      <c r="B30">
        <v>21</v>
      </c>
      <c r="C30">
        <v>22</v>
      </c>
    </row>
    <row r="31" spans="1:3" x14ac:dyDescent="0.3">
      <c r="A31" t="s">
        <v>18</v>
      </c>
      <c r="B31">
        <v>1347</v>
      </c>
      <c r="C31">
        <v>694</v>
      </c>
    </row>
    <row r="32" spans="1:3" x14ac:dyDescent="0.3">
      <c r="A32" t="s">
        <v>37</v>
      </c>
      <c r="B32">
        <v>42</v>
      </c>
      <c r="C32">
        <v>34</v>
      </c>
    </row>
    <row r="33" spans="1:3" x14ac:dyDescent="0.3">
      <c r="A33" t="s">
        <v>38</v>
      </c>
      <c r="B33">
        <v>132</v>
      </c>
      <c r="C33">
        <v>0</v>
      </c>
    </row>
    <row r="34" spans="1:3" x14ac:dyDescent="0.3">
      <c r="A34" t="s">
        <v>80</v>
      </c>
      <c r="B34">
        <v>5</v>
      </c>
      <c r="C34">
        <v>4</v>
      </c>
    </row>
    <row r="35" spans="1:3" x14ac:dyDescent="0.3">
      <c r="A35" t="s">
        <v>82</v>
      </c>
      <c r="B35">
        <v>8</v>
      </c>
      <c r="C35">
        <v>8</v>
      </c>
    </row>
    <row r="36" spans="1:3" x14ac:dyDescent="0.3">
      <c r="A36" t="s">
        <v>42</v>
      </c>
      <c r="B36">
        <v>38</v>
      </c>
      <c r="C36">
        <v>46</v>
      </c>
    </row>
    <row r="37" spans="1:3" x14ac:dyDescent="0.3">
      <c r="B37">
        <v>15</v>
      </c>
      <c r="C37">
        <v>8</v>
      </c>
    </row>
  </sheetData>
  <phoneticPr fontId="18"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1257DC-7E44-4068-848D-95F153135A50}">
  <dimension ref="A1:C37"/>
  <sheetViews>
    <sheetView workbookViewId="0"/>
  </sheetViews>
  <sheetFormatPr defaultRowHeight="14.4" x14ac:dyDescent="0.3"/>
  <cols>
    <col min="1" max="1" width="23.33203125" bestFit="1" customWidth="1"/>
    <col min="2" max="2" width="31.109375" bestFit="1" customWidth="1"/>
    <col min="3" max="3" width="31.44140625" bestFit="1" customWidth="1"/>
  </cols>
  <sheetData>
    <row r="1" spans="1:3" x14ac:dyDescent="0.3">
      <c r="A1" t="s">
        <v>58</v>
      </c>
      <c r="B1" t="s">
        <v>87</v>
      </c>
      <c r="C1" t="s">
        <v>88</v>
      </c>
    </row>
    <row r="2" spans="1:3" x14ac:dyDescent="0.3">
      <c r="A2" t="s">
        <v>37</v>
      </c>
      <c r="B2">
        <v>2338</v>
      </c>
      <c r="C2">
        <v>3</v>
      </c>
    </row>
    <row r="3" spans="1:3" x14ac:dyDescent="0.3">
      <c r="A3" t="s">
        <v>8</v>
      </c>
      <c r="B3">
        <v>25651</v>
      </c>
      <c r="C3">
        <v>0</v>
      </c>
    </row>
    <row r="4" spans="1:3" x14ac:dyDescent="0.3">
      <c r="A4" t="s">
        <v>9</v>
      </c>
      <c r="B4">
        <v>381</v>
      </c>
      <c r="C4">
        <v>0</v>
      </c>
    </row>
    <row r="5" spans="1:3" x14ac:dyDescent="0.3">
      <c r="A5" t="s">
        <v>10</v>
      </c>
      <c r="B5">
        <v>10636</v>
      </c>
      <c r="C5">
        <v>9</v>
      </c>
    </row>
    <row r="6" spans="1:3" x14ac:dyDescent="0.3">
      <c r="A6" t="s">
        <v>11</v>
      </c>
      <c r="B6">
        <v>42041</v>
      </c>
      <c r="C6">
        <v>110</v>
      </c>
    </row>
    <row r="7" spans="1:3" x14ac:dyDescent="0.3">
      <c r="A7" t="s">
        <v>38</v>
      </c>
      <c r="B7">
        <v>3511</v>
      </c>
      <c r="C7">
        <v>4</v>
      </c>
    </row>
    <row r="8" spans="1:3" x14ac:dyDescent="0.3">
      <c r="A8" t="s">
        <v>12</v>
      </c>
      <c r="B8">
        <v>7116</v>
      </c>
      <c r="C8">
        <v>10</v>
      </c>
    </row>
    <row r="9" spans="1:3" x14ac:dyDescent="0.3">
      <c r="A9" t="s">
        <v>77</v>
      </c>
      <c r="B9">
        <v>4237</v>
      </c>
      <c r="C9">
        <v>2</v>
      </c>
    </row>
    <row r="10" spans="1:3" x14ac:dyDescent="0.3">
      <c r="A10" t="s">
        <v>80</v>
      </c>
      <c r="B10">
        <v>1503</v>
      </c>
      <c r="C10">
        <v>3</v>
      </c>
    </row>
    <row r="11" spans="1:3" x14ac:dyDescent="0.3">
      <c r="A11" t="s">
        <v>13</v>
      </c>
      <c r="B11">
        <v>46865</v>
      </c>
      <c r="C11">
        <v>51</v>
      </c>
    </row>
    <row r="12" spans="1:3" x14ac:dyDescent="0.3">
      <c r="A12" t="s">
        <v>14</v>
      </c>
      <c r="B12">
        <v>3149</v>
      </c>
      <c r="C12">
        <v>4</v>
      </c>
    </row>
    <row r="13" spans="1:3" x14ac:dyDescent="0.3">
      <c r="A13" t="s">
        <v>15</v>
      </c>
      <c r="B13">
        <v>45563</v>
      </c>
      <c r="C13">
        <v>48</v>
      </c>
    </row>
    <row r="14" spans="1:3" x14ac:dyDescent="0.3">
      <c r="A14" t="s">
        <v>16</v>
      </c>
      <c r="B14">
        <v>31565</v>
      </c>
      <c r="C14">
        <v>42</v>
      </c>
    </row>
    <row r="15" spans="1:3" x14ac:dyDescent="0.3">
      <c r="A15" t="s">
        <v>17</v>
      </c>
      <c r="B15">
        <v>6041</v>
      </c>
      <c r="C15">
        <v>3</v>
      </c>
    </row>
    <row r="16" spans="1:3" x14ac:dyDescent="0.3">
      <c r="A16" t="s">
        <v>18</v>
      </c>
      <c r="B16">
        <v>16877</v>
      </c>
      <c r="C16">
        <v>32</v>
      </c>
    </row>
    <row r="17" spans="1:3" x14ac:dyDescent="0.3">
      <c r="A17" t="s">
        <v>19</v>
      </c>
      <c r="B17">
        <v>4068</v>
      </c>
      <c r="C17">
        <v>5</v>
      </c>
    </row>
    <row r="18" spans="1:3" x14ac:dyDescent="0.3">
      <c r="A18" t="s">
        <v>20</v>
      </c>
      <c r="B18">
        <v>63367</v>
      </c>
      <c r="C18">
        <v>45</v>
      </c>
    </row>
    <row r="19" spans="1:3" x14ac:dyDescent="0.3">
      <c r="A19" t="s">
        <v>21</v>
      </c>
      <c r="B19">
        <v>42275</v>
      </c>
      <c r="C19">
        <v>252</v>
      </c>
    </row>
    <row r="20" spans="1:3" x14ac:dyDescent="0.3">
      <c r="A20" t="s">
        <v>82</v>
      </c>
      <c r="B20">
        <v>897</v>
      </c>
      <c r="C20">
        <v>0</v>
      </c>
    </row>
    <row r="21" spans="1:3" x14ac:dyDescent="0.3">
      <c r="A21" t="s">
        <v>22</v>
      </c>
      <c r="B21">
        <v>31626</v>
      </c>
      <c r="C21">
        <v>15</v>
      </c>
    </row>
    <row r="22" spans="1:3" x14ac:dyDescent="0.3">
      <c r="A22" t="s">
        <v>23</v>
      </c>
      <c r="B22">
        <v>61768</v>
      </c>
      <c r="C22">
        <v>164</v>
      </c>
    </row>
    <row r="23" spans="1:3" x14ac:dyDescent="0.3">
      <c r="A23" t="s">
        <v>24</v>
      </c>
      <c r="B23">
        <v>3714</v>
      </c>
      <c r="C23">
        <v>4</v>
      </c>
    </row>
    <row r="24" spans="1:3" x14ac:dyDescent="0.3">
      <c r="A24" t="s">
        <v>25</v>
      </c>
      <c r="B24">
        <v>392</v>
      </c>
      <c r="C24">
        <v>0</v>
      </c>
    </row>
    <row r="25" spans="1:3" x14ac:dyDescent="0.3">
      <c r="A25" t="s">
        <v>26</v>
      </c>
      <c r="B25">
        <v>4354</v>
      </c>
      <c r="C25">
        <v>7</v>
      </c>
    </row>
    <row r="26" spans="1:3" x14ac:dyDescent="0.3">
      <c r="A26" t="s">
        <v>27</v>
      </c>
      <c r="B26">
        <v>5134</v>
      </c>
      <c r="C26">
        <v>2</v>
      </c>
    </row>
    <row r="27" spans="1:3" x14ac:dyDescent="0.3">
      <c r="A27" t="s">
        <v>28</v>
      </c>
      <c r="B27">
        <v>32032</v>
      </c>
      <c r="C27">
        <v>5</v>
      </c>
    </row>
    <row r="28" spans="1:3" x14ac:dyDescent="0.3">
      <c r="A28" t="s">
        <v>42</v>
      </c>
      <c r="B28">
        <v>9625</v>
      </c>
      <c r="C28">
        <v>9</v>
      </c>
    </row>
    <row r="29" spans="1:3" x14ac:dyDescent="0.3">
      <c r="A29" t="s">
        <v>29</v>
      </c>
      <c r="B29">
        <v>66992</v>
      </c>
      <c r="C29">
        <v>171</v>
      </c>
    </row>
    <row r="30" spans="1:3" x14ac:dyDescent="0.3">
      <c r="A30" t="s">
        <v>30</v>
      </c>
      <c r="B30">
        <v>64911</v>
      </c>
      <c r="C30">
        <v>144</v>
      </c>
    </row>
    <row r="31" spans="1:3" x14ac:dyDescent="0.3">
      <c r="A31" t="s">
        <v>31</v>
      </c>
      <c r="B31">
        <v>1332</v>
      </c>
      <c r="C31">
        <v>1</v>
      </c>
    </row>
    <row r="32" spans="1:3" x14ac:dyDescent="0.3">
      <c r="A32" t="s">
        <v>32</v>
      </c>
      <c r="B32">
        <v>37305</v>
      </c>
      <c r="C32">
        <v>35</v>
      </c>
    </row>
    <row r="33" spans="1:3" x14ac:dyDescent="0.3">
      <c r="A33" t="s">
        <v>43</v>
      </c>
      <c r="B33">
        <v>40705</v>
      </c>
      <c r="C33">
        <v>8</v>
      </c>
    </row>
    <row r="34" spans="1:3" x14ac:dyDescent="0.3">
      <c r="A34" t="s">
        <v>33</v>
      </c>
      <c r="B34">
        <v>2247</v>
      </c>
      <c r="C34">
        <v>0</v>
      </c>
    </row>
    <row r="35" spans="1:3" x14ac:dyDescent="0.3">
      <c r="A35" t="s">
        <v>34</v>
      </c>
      <c r="B35">
        <v>99586</v>
      </c>
      <c r="C35">
        <v>131</v>
      </c>
    </row>
    <row r="36" spans="1:3" x14ac:dyDescent="0.3">
      <c r="A36" t="s">
        <v>35</v>
      </c>
      <c r="B36">
        <v>18093</v>
      </c>
      <c r="C36">
        <v>28</v>
      </c>
    </row>
    <row r="37" spans="1:3" x14ac:dyDescent="0.3">
      <c r="A37" t="s">
        <v>36</v>
      </c>
      <c r="B37">
        <v>111825</v>
      </c>
      <c r="C37">
        <v>41</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523E66-0249-4CA4-BA29-DB31F7DC79E1}">
  <dimension ref="A1:C37"/>
  <sheetViews>
    <sheetView workbookViewId="0"/>
  </sheetViews>
  <sheetFormatPr defaultRowHeight="14.4" x14ac:dyDescent="0.3"/>
  <cols>
    <col min="1" max="1" width="16.33203125" bestFit="1" customWidth="1"/>
    <col min="2" max="2" width="31.109375" bestFit="1" customWidth="1"/>
    <col min="3" max="3" width="31.44140625" bestFit="1" customWidth="1"/>
  </cols>
  <sheetData>
    <row r="1" spans="1:3" x14ac:dyDescent="0.3">
      <c r="A1" t="s">
        <v>58</v>
      </c>
      <c r="B1" t="s">
        <v>87</v>
      </c>
      <c r="C1" t="s">
        <v>88</v>
      </c>
    </row>
    <row r="2" spans="1:3" x14ac:dyDescent="0.3">
      <c r="A2" t="s">
        <v>89</v>
      </c>
      <c r="B2">
        <v>2338</v>
      </c>
      <c r="C2">
        <v>3</v>
      </c>
    </row>
    <row r="3" spans="1:3" x14ac:dyDescent="0.3">
      <c r="A3" t="s">
        <v>8</v>
      </c>
      <c r="B3">
        <v>25651</v>
      </c>
      <c r="C3">
        <v>0</v>
      </c>
    </row>
    <row r="4" spans="1:3" x14ac:dyDescent="0.3">
      <c r="A4" t="s">
        <v>9</v>
      </c>
      <c r="B4">
        <v>381</v>
      </c>
      <c r="C4">
        <v>0</v>
      </c>
    </row>
    <row r="5" spans="1:3" x14ac:dyDescent="0.3">
      <c r="A5" t="s">
        <v>10</v>
      </c>
      <c r="B5">
        <v>10636</v>
      </c>
      <c r="C5">
        <v>9</v>
      </c>
    </row>
    <row r="6" spans="1:3" x14ac:dyDescent="0.3">
      <c r="A6" t="s">
        <v>11</v>
      </c>
      <c r="B6">
        <v>42041</v>
      </c>
      <c r="C6">
        <v>110</v>
      </c>
    </row>
    <row r="7" spans="1:3" x14ac:dyDescent="0.3">
      <c r="A7" t="s">
        <v>38</v>
      </c>
      <c r="B7">
        <v>3511</v>
      </c>
      <c r="C7">
        <v>4</v>
      </c>
    </row>
    <row r="8" spans="1:3" x14ac:dyDescent="0.3">
      <c r="A8" t="s">
        <v>63</v>
      </c>
      <c r="B8">
        <v>7116</v>
      </c>
      <c r="C8">
        <v>10</v>
      </c>
    </row>
    <row r="9" spans="1:3" x14ac:dyDescent="0.3">
      <c r="A9" t="s">
        <v>79</v>
      </c>
      <c r="B9">
        <v>4237</v>
      </c>
      <c r="C9">
        <v>2</v>
      </c>
    </row>
    <row r="10" spans="1:3" x14ac:dyDescent="0.3">
      <c r="A10" t="s">
        <v>80</v>
      </c>
      <c r="B10">
        <v>1503</v>
      </c>
      <c r="C10">
        <v>3</v>
      </c>
    </row>
    <row r="11" spans="1:3" x14ac:dyDescent="0.3">
      <c r="A11" t="s">
        <v>13</v>
      </c>
      <c r="B11">
        <v>46865</v>
      </c>
      <c r="C11">
        <v>51</v>
      </c>
    </row>
    <row r="12" spans="1:3" x14ac:dyDescent="0.3">
      <c r="A12" t="s">
        <v>14</v>
      </c>
      <c r="B12">
        <v>3149</v>
      </c>
      <c r="C12">
        <v>4</v>
      </c>
    </row>
    <row r="13" spans="1:3" x14ac:dyDescent="0.3">
      <c r="A13" t="s">
        <v>15</v>
      </c>
      <c r="B13">
        <v>45563</v>
      </c>
      <c r="C13">
        <v>48</v>
      </c>
    </row>
    <row r="14" spans="1:3" x14ac:dyDescent="0.3">
      <c r="A14" t="s">
        <v>16</v>
      </c>
      <c r="B14">
        <v>31565</v>
      </c>
      <c r="C14">
        <v>42</v>
      </c>
    </row>
    <row r="15" spans="1:3" x14ac:dyDescent="0.3">
      <c r="A15" t="s">
        <v>17</v>
      </c>
      <c r="B15">
        <v>6041</v>
      </c>
      <c r="C15">
        <v>3</v>
      </c>
    </row>
    <row r="16" spans="1:3" x14ac:dyDescent="0.3">
      <c r="A16" t="s">
        <v>73</v>
      </c>
      <c r="B16">
        <v>16877</v>
      </c>
      <c r="C16">
        <v>32</v>
      </c>
    </row>
    <row r="17" spans="1:3" x14ac:dyDescent="0.3">
      <c r="A17" t="s">
        <v>19</v>
      </c>
      <c r="B17">
        <v>4068</v>
      </c>
      <c r="C17">
        <v>5</v>
      </c>
    </row>
    <row r="18" spans="1:3" x14ac:dyDescent="0.3">
      <c r="A18" t="s">
        <v>20</v>
      </c>
      <c r="B18">
        <v>63367</v>
      </c>
      <c r="C18">
        <v>45</v>
      </c>
    </row>
    <row r="19" spans="1:3" x14ac:dyDescent="0.3">
      <c r="A19" t="s">
        <v>21</v>
      </c>
      <c r="B19">
        <v>42275</v>
      </c>
      <c r="C19">
        <v>252</v>
      </c>
    </row>
    <row r="20" spans="1:3" x14ac:dyDescent="0.3">
      <c r="A20" t="s">
        <v>82</v>
      </c>
      <c r="B20">
        <v>897</v>
      </c>
      <c r="C20">
        <v>0</v>
      </c>
    </row>
    <row r="21" spans="1:3" x14ac:dyDescent="0.3">
      <c r="A21" t="s">
        <v>22</v>
      </c>
      <c r="B21">
        <v>31626</v>
      </c>
      <c r="C21">
        <v>15</v>
      </c>
    </row>
    <row r="22" spans="1:3" x14ac:dyDescent="0.3">
      <c r="A22" t="s">
        <v>23</v>
      </c>
      <c r="B22">
        <v>61768</v>
      </c>
      <c r="C22">
        <v>164</v>
      </c>
    </row>
    <row r="23" spans="1:3" x14ac:dyDescent="0.3">
      <c r="A23" t="s">
        <v>24</v>
      </c>
      <c r="B23">
        <v>3714</v>
      </c>
      <c r="C23">
        <v>4</v>
      </c>
    </row>
    <row r="24" spans="1:3" x14ac:dyDescent="0.3">
      <c r="A24" t="s">
        <v>25</v>
      </c>
      <c r="B24">
        <v>392</v>
      </c>
      <c r="C24">
        <v>0</v>
      </c>
    </row>
    <row r="25" spans="1:3" x14ac:dyDescent="0.3">
      <c r="A25" t="s">
        <v>26</v>
      </c>
      <c r="B25">
        <v>4354</v>
      </c>
      <c r="C25">
        <v>7</v>
      </c>
    </row>
    <row r="26" spans="1:3" x14ac:dyDescent="0.3">
      <c r="A26" t="s">
        <v>27</v>
      </c>
      <c r="B26">
        <v>5134</v>
      </c>
      <c r="C26">
        <v>2</v>
      </c>
    </row>
    <row r="27" spans="1:3" x14ac:dyDescent="0.3">
      <c r="A27" t="s">
        <v>28</v>
      </c>
      <c r="B27">
        <v>32032</v>
      </c>
      <c r="C27">
        <v>5</v>
      </c>
    </row>
    <row r="28" spans="1:3" x14ac:dyDescent="0.3">
      <c r="A28" t="s">
        <v>90</v>
      </c>
      <c r="B28">
        <v>9625</v>
      </c>
      <c r="C28">
        <v>9</v>
      </c>
    </row>
    <row r="29" spans="1:3" x14ac:dyDescent="0.3">
      <c r="A29" t="s">
        <v>29</v>
      </c>
      <c r="B29">
        <v>66992</v>
      </c>
      <c r="C29">
        <v>171</v>
      </c>
    </row>
    <row r="30" spans="1:3" x14ac:dyDescent="0.3">
      <c r="A30" t="s">
        <v>30</v>
      </c>
      <c r="B30">
        <v>64911</v>
      </c>
      <c r="C30">
        <v>144</v>
      </c>
    </row>
    <row r="31" spans="1:3" x14ac:dyDescent="0.3">
      <c r="A31" t="s">
        <v>31</v>
      </c>
      <c r="B31">
        <v>1332</v>
      </c>
      <c r="C31">
        <v>1</v>
      </c>
    </row>
    <row r="32" spans="1:3" x14ac:dyDescent="0.3">
      <c r="A32" t="s">
        <v>32</v>
      </c>
      <c r="B32">
        <v>37305</v>
      </c>
      <c r="C32">
        <v>35</v>
      </c>
    </row>
    <row r="33" spans="1:3" x14ac:dyDescent="0.3">
      <c r="A33" t="s">
        <v>43</v>
      </c>
      <c r="B33">
        <v>40705</v>
      </c>
      <c r="C33">
        <v>8</v>
      </c>
    </row>
    <row r="34" spans="1:3" x14ac:dyDescent="0.3">
      <c r="A34" t="s">
        <v>33</v>
      </c>
      <c r="B34">
        <v>2247</v>
      </c>
      <c r="C34">
        <v>0</v>
      </c>
    </row>
    <row r="35" spans="1:3" x14ac:dyDescent="0.3">
      <c r="A35" t="s">
        <v>34</v>
      </c>
      <c r="B35">
        <v>99586</v>
      </c>
      <c r="C35">
        <v>131</v>
      </c>
    </row>
    <row r="36" spans="1:3" x14ac:dyDescent="0.3">
      <c r="A36" t="s">
        <v>91</v>
      </c>
      <c r="B36">
        <v>18093</v>
      </c>
      <c r="C36">
        <v>28</v>
      </c>
    </row>
    <row r="37" spans="1:3" x14ac:dyDescent="0.3">
      <c r="A37" t="s">
        <v>92</v>
      </c>
      <c r="B37">
        <v>111825</v>
      </c>
      <c r="C37">
        <v>41</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B161A7-A798-46C3-8441-8BDEA0750561}">
  <dimension ref="A1:C4"/>
  <sheetViews>
    <sheetView workbookViewId="0">
      <selection activeCell="B8" sqref="B8:E8"/>
    </sheetView>
  </sheetViews>
  <sheetFormatPr defaultRowHeight="14.4" x14ac:dyDescent="0.3"/>
  <cols>
    <col min="1" max="1" width="25.21875" bestFit="1" customWidth="1"/>
    <col min="2" max="2" width="20.88671875" bestFit="1" customWidth="1"/>
    <col min="3" max="3" width="26" bestFit="1" customWidth="1"/>
  </cols>
  <sheetData>
    <row r="1" spans="1:3" x14ac:dyDescent="0.3">
      <c r="A1" s="21" t="s">
        <v>58</v>
      </c>
      <c r="B1" t="s">
        <v>11</v>
      </c>
    </row>
    <row r="3" spans="1:3" x14ac:dyDescent="0.3">
      <c r="A3" t="s">
        <v>130</v>
      </c>
      <c r="B3" t="s">
        <v>124</v>
      </c>
      <c r="C3" t="s">
        <v>125</v>
      </c>
    </row>
    <row r="4" spans="1:3" x14ac:dyDescent="0.3">
      <c r="A4">
        <v>112551474.14196363</v>
      </c>
      <c r="B4">
        <v>8</v>
      </c>
      <c r="C4">
        <v>950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B56F8F-1105-4EFD-B22E-C2AAFE88A169}">
  <dimension ref="A3:E9"/>
  <sheetViews>
    <sheetView workbookViewId="0">
      <selection activeCell="A4" sqref="A4"/>
    </sheetView>
  </sheetViews>
  <sheetFormatPr defaultRowHeight="14.4" x14ac:dyDescent="0.3"/>
  <cols>
    <col min="1" max="1" width="15.33203125" bestFit="1" customWidth="1"/>
    <col min="2" max="2" width="19.6640625" bestFit="1" customWidth="1"/>
    <col min="3" max="3" width="22.109375" bestFit="1" customWidth="1"/>
    <col min="4" max="4" width="22.88671875" bestFit="1" customWidth="1"/>
    <col min="5" max="5" width="22.44140625" bestFit="1" customWidth="1"/>
  </cols>
  <sheetData>
    <row r="3" spans="1:5" x14ac:dyDescent="0.3">
      <c r="A3" s="21" t="s">
        <v>122</v>
      </c>
      <c r="B3" t="s">
        <v>109</v>
      </c>
      <c r="C3" t="s">
        <v>113</v>
      </c>
      <c r="D3" t="s">
        <v>115</v>
      </c>
      <c r="E3" t="s">
        <v>114</v>
      </c>
    </row>
    <row r="4" spans="1:5" x14ac:dyDescent="0.3">
      <c r="A4" s="22" t="s">
        <v>38</v>
      </c>
      <c r="B4" s="2">
        <v>6.4678772411937438E-2</v>
      </c>
      <c r="C4" s="2">
        <v>0</v>
      </c>
      <c r="D4" s="2">
        <v>2.8385896242289041E-3</v>
      </c>
      <c r="E4" s="2">
        <v>1</v>
      </c>
    </row>
    <row r="5" spans="1:5" x14ac:dyDescent="0.3">
      <c r="A5" s="22" t="s">
        <v>12</v>
      </c>
      <c r="B5" s="2">
        <v>2.7394420386351325E-2</v>
      </c>
      <c r="C5" s="2">
        <v>1.1707853474643008E-2</v>
      </c>
      <c r="D5" s="2">
        <v>2.3206987555866195E-4</v>
      </c>
      <c r="E5" s="2">
        <v>0.54728877679697352</v>
      </c>
    </row>
    <row r="6" spans="1:5" x14ac:dyDescent="0.3">
      <c r="A6" s="22" t="s">
        <v>18</v>
      </c>
      <c r="B6" s="2">
        <v>4.8122784703638101E-3</v>
      </c>
      <c r="C6" s="2">
        <v>4.4529616779099793E-2</v>
      </c>
      <c r="D6" s="2">
        <v>1.0828909832577337E-3</v>
      </c>
      <c r="E6" s="2">
        <v>0.48478099480326653</v>
      </c>
    </row>
    <row r="7" spans="1:5" x14ac:dyDescent="0.3">
      <c r="A7" s="22" t="s">
        <v>26</v>
      </c>
      <c r="B7" s="2">
        <v>7.3295807475189281E-2</v>
      </c>
      <c r="C7" s="2">
        <v>4.3244526410361681E-2</v>
      </c>
      <c r="D7" s="2">
        <v>3.1912994574697416E-3</v>
      </c>
      <c r="E7" s="2">
        <v>0.61184210526315785</v>
      </c>
    </row>
    <row r="8" spans="1:5" x14ac:dyDescent="0.3">
      <c r="A8" s="22" t="s">
        <v>34</v>
      </c>
      <c r="B8" s="2">
        <v>4.9193436209313365E-2</v>
      </c>
      <c r="C8" s="2">
        <v>5.7687791872713693E-3</v>
      </c>
      <c r="D8" s="2">
        <v>4.2744765189256441E-4</v>
      </c>
      <c r="E8" s="2">
        <v>0.70192947438456421</v>
      </c>
    </row>
    <row r="9" spans="1:5" x14ac:dyDescent="0.3">
      <c r="A9" s="22" t="s">
        <v>123</v>
      </c>
      <c r="B9">
        <v>0.21937471495315525</v>
      </c>
      <c r="C9">
        <v>0.10525077585137585</v>
      </c>
      <c r="D9">
        <v>7.7722975924076057E-3</v>
      </c>
      <c r="E9">
        <v>3.3458413512479623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A51AD-2CF8-45B8-B76D-B413FF292437}">
  <dimension ref="A1:I36"/>
  <sheetViews>
    <sheetView topLeftCell="A2" workbookViewId="0">
      <selection activeCell="A3" sqref="A3"/>
    </sheetView>
  </sheetViews>
  <sheetFormatPr defaultRowHeight="14.4" x14ac:dyDescent="0.3"/>
  <cols>
    <col min="1" max="1" width="23.33203125" bestFit="1" customWidth="1"/>
    <col min="2" max="2" width="12.21875" bestFit="1" customWidth="1"/>
    <col min="3" max="3" width="16.21875" bestFit="1" customWidth="1"/>
    <col min="4" max="4" width="17" bestFit="1" customWidth="1"/>
    <col min="5" max="5" width="22" bestFit="1" customWidth="1"/>
    <col min="6" max="6" width="27.44140625" bestFit="1" customWidth="1"/>
    <col min="7" max="7" width="27.33203125" bestFit="1" customWidth="1"/>
    <col min="8" max="8" width="20.109375" bestFit="1" customWidth="1"/>
    <col min="9" max="9" width="19.77734375" bestFit="1" customWidth="1"/>
    <col min="10" max="10" width="16.21875" bestFit="1" customWidth="1"/>
    <col min="11" max="11" width="30.77734375" bestFit="1" customWidth="1"/>
    <col min="12" max="12" width="26.77734375" bestFit="1" customWidth="1"/>
    <col min="13" max="13" width="46.6640625" bestFit="1" customWidth="1"/>
    <col min="14" max="14" width="47" bestFit="1" customWidth="1"/>
    <col min="15" max="15" width="34.109375" bestFit="1" customWidth="1"/>
    <col min="16" max="16" width="33.77734375" bestFit="1" customWidth="1"/>
  </cols>
  <sheetData>
    <row r="1" spans="1:9" x14ac:dyDescent="0.3">
      <c r="A1" t="s">
        <v>58</v>
      </c>
      <c r="B1" t="s">
        <v>98</v>
      </c>
      <c r="C1" t="s">
        <v>86</v>
      </c>
      <c r="D1" t="s">
        <v>99</v>
      </c>
      <c r="E1" t="s">
        <v>100</v>
      </c>
      <c r="F1" t="s">
        <v>101</v>
      </c>
      <c r="G1" t="s">
        <v>102</v>
      </c>
      <c r="H1" t="s">
        <v>96</v>
      </c>
      <c r="I1" t="s">
        <v>97</v>
      </c>
    </row>
    <row r="2" spans="1:9" x14ac:dyDescent="0.3">
      <c r="A2" t="s">
        <v>37</v>
      </c>
      <c r="B2">
        <v>380581</v>
      </c>
      <c r="C2">
        <v>5.9666666666666757E-3</v>
      </c>
      <c r="D2">
        <v>5</v>
      </c>
      <c r="E2">
        <v>90</v>
      </c>
      <c r="F2">
        <v>2338</v>
      </c>
      <c r="G2">
        <v>3</v>
      </c>
      <c r="H2">
        <v>42</v>
      </c>
      <c r="I2">
        <v>34</v>
      </c>
    </row>
    <row r="3" spans="1:9" x14ac:dyDescent="0.3">
      <c r="A3" t="s">
        <v>8</v>
      </c>
      <c r="B3">
        <v>67459740</v>
      </c>
      <c r="C3">
        <v>0.11214117647058824</v>
      </c>
      <c r="D3">
        <v>8</v>
      </c>
      <c r="E3">
        <v>365</v>
      </c>
      <c r="F3">
        <v>25651</v>
      </c>
      <c r="G3">
        <v>0</v>
      </c>
      <c r="H3">
        <v>2267</v>
      </c>
      <c r="I3">
        <v>2045</v>
      </c>
    </row>
    <row r="4" spans="1:9" x14ac:dyDescent="0.3">
      <c r="A4" t="s">
        <v>9</v>
      </c>
      <c r="B4">
        <v>1383727</v>
      </c>
      <c r="C4">
        <v>0.27805625</v>
      </c>
      <c r="D4">
        <v>12</v>
      </c>
      <c r="E4">
        <v>125</v>
      </c>
      <c r="F4">
        <v>381</v>
      </c>
      <c r="G4">
        <v>0</v>
      </c>
      <c r="H4">
        <v>30</v>
      </c>
      <c r="I4">
        <v>125</v>
      </c>
    </row>
    <row r="5" spans="1:9" x14ac:dyDescent="0.3">
      <c r="A5" t="s">
        <v>10</v>
      </c>
      <c r="B5">
        <v>28381808</v>
      </c>
      <c r="C5">
        <v>0.16313076923076925</v>
      </c>
      <c r="D5">
        <v>4</v>
      </c>
      <c r="E5">
        <v>205</v>
      </c>
      <c r="F5">
        <v>10636</v>
      </c>
      <c r="G5">
        <v>9</v>
      </c>
      <c r="H5">
        <v>30</v>
      </c>
      <c r="I5">
        <v>1376</v>
      </c>
    </row>
    <row r="6" spans="1:9" x14ac:dyDescent="0.3">
      <c r="A6" t="s">
        <v>11</v>
      </c>
      <c r="B6">
        <v>89751364</v>
      </c>
      <c r="C6">
        <v>0.25403636363636362</v>
      </c>
      <c r="D6">
        <v>8</v>
      </c>
      <c r="E6">
        <v>950</v>
      </c>
      <c r="F6">
        <v>42041</v>
      </c>
      <c r="G6">
        <v>110</v>
      </c>
      <c r="H6">
        <v>2078</v>
      </c>
      <c r="I6">
        <v>1786</v>
      </c>
    </row>
    <row r="7" spans="1:9" x14ac:dyDescent="0.3">
      <c r="A7" t="s">
        <v>38</v>
      </c>
      <c r="B7">
        <v>1055450</v>
      </c>
      <c r="C7">
        <v>0.1719</v>
      </c>
      <c r="D7">
        <v>2</v>
      </c>
      <c r="E7">
        <v>80</v>
      </c>
      <c r="F7">
        <v>3511</v>
      </c>
      <c r="G7">
        <v>4</v>
      </c>
      <c r="H7">
        <v>132</v>
      </c>
      <c r="I7">
        <v>0</v>
      </c>
    </row>
    <row r="8" spans="1:9" x14ac:dyDescent="0.3">
      <c r="A8" t="s">
        <v>12</v>
      </c>
      <c r="B8">
        <v>25545198</v>
      </c>
      <c r="C8">
        <v>0.20034999999999994</v>
      </c>
      <c r="D8">
        <v>15</v>
      </c>
      <c r="E8">
        <v>840</v>
      </c>
      <c r="F8">
        <v>7116</v>
      </c>
      <c r="G8">
        <v>10</v>
      </c>
      <c r="H8">
        <v>793</v>
      </c>
      <c r="I8">
        <v>359</v>
      </c>
    </row>
    <row r="9" spans="1:9" x14ac:dyDescent="0.3">
      <c r="A9" t="s">
        <v>77</v>
      </c>
      <c r="B9">
        <v>343709</v>
      </c>
      <c r="C9">
        <v>0.55879999999999996</v>
      </c>
      <c r="D9">
        <v>0</v>
      </c>
      <c r="E9">
        <v>0</v>
      </c>
      <c r="F9">
        <v>4237</v>
      </c>
      <c r="G9">
        <v>2</v>
      </c>
    </row>
    <row r="10" spans="1:9" x14ac:dyDescent="0.3">
      <c r="A10" t="s">
        <v>80</v>
      </c>
      <c r="B10">
        <v>243247</v>
      </c>
      <c r="C10">
        <v>0.4274</v>
      </c>
      <c r="D10">
        <v>2</v>
      </c>
      <c r="E10">
        <v>20</v>
      </c>
      <c r="F10">
        <v>1503</v>
      </c>
      <c r="G10">
        <v>3</v>
      </c>
      <c r="H10">
        <v>5</v>
      </c>
      <c r="I10">
        <v>4</v>
      </c>
    </row>
    <row r="11" spans="1:9" x14ac:dyDescent="0.3">
      <c r="A11" t="s">
        <v>13</v>
      </c>
      <c r="B11">
        <v>14056012</v>
      </c>
      <c r="C11">
        <v>0.13059999999999999</v>
      </c>
      <c r="D11">
        <v>5</v>
      </c>
      <c r="E11">
        <v>600</v>
      </c>
      <c r="F11">
        <v>46865</v>
      </c>
      <c r="G11">
        <v>51</v>
      </c>
      <c r="H11">
        <v>21</v>
      </c>
      <c r="I11">
        <v>22</v>
      </c>
    </row>
    <row r="12" spans="1:9" x14ac:dyDescent="0.3">
      <c r="A12" t="s">
        <v>14</v>
      </c>
      <c r="B12">
        <v>1458545</v>
      </c>
      <c r="C12">
        <v>8.2850000000000007E-2</v>
      </c>
      <c r="D12">
        <v>2</v>
      </c>
      <c r="E12">
        <v>150</v>
      </c>
      <c r="F12">
        <v>3149</v>
      </c>
      <c r="G12">
        <v>4</v>
      </c>
      <c r="H12">
        <v>48</v>
      </c>
      <c r="I12">
        <v>56</v>
      </c>
    </row>
    <row r="13" spans="1:9" x14ac:dyDescent="0.3">
      <c r="A13" t="s">
        <v>15</v>
      </c>
      <c r="B13">
        <v>54816245</v>
      </c>
      <c r="C13">
        <v>0.17310833333333334</v>
      </c>
      <c r="D13">
        <v>64</v>
      </c>
      <c r="E13">
        <v>3258</v>
      </c>
      <c r="F13">
        <v>45563</v>
      </c>
      <c r="G13">
        <v>48</v>
      </c>
      <c r="H13">
        <v>1865</v>
      </c>
      <c r="I13">
        <v>1321</v>
      </c>
    </row>
    <row r="14" spans="1:9" x14ac:dyDescent="0.3">
      <c r="A14" t="s">
        <v>16</v>
      </c>
      <c r="B14">
        <v>25351462</v>
      </c>
      <c r="C14">
        <v>0.20492380952380954</v>
      </c>
      <c r="D14">
        <v>11</v>
      </c>
      <c r="E14">
        <v>745</v>
      </c>
      <c r="F14">
        <v>31565</v>
      </c>
      <c r="G14">
        <v>42</v>
      </c>
      <c r="H14">
        <v>551</v>
      </c>
      <c r="I14">
        <v>491</v>
      </c>
    </row>
    <row r="15" spans="1:9" x14ac:dyDescent="0.3">
      <c r="A15" t="s">
        <v>17</v>
      </c>
      <c r="B15">
        <v>6864602</v>
      </c>
      <c r="C15">
        <v>0.113425</v>
      </c>
      <c r="D15">
        <v>34</v>
      </c>
      <c r="E15">
        <v>710</v>
      </c>
      <c r="F15">
        <v>6041</v>
      </c>
      <c r="G15">
        <v>3</v>
      </c>
      <c r="H15">
        <v>636</v>
      </c>
      <c r="I15">
        <v>622</v>
      </c>
    </row>
    <row r="16" spans="1:9" x14ac:dyDescent="0.3">
      <c r="A16" t="s">
        <v>18</v>
      </c>
      <c r="B16">
        <v>12541302</v>
      </c>
      <c r="C16">
        <v>0.24270454545454545</v>
      </c>
      <c r="D16">
        <v>2</v>
      </c>
      <c r="E16">
        <v>75</v>
      </c>
      <c r="F16">
        <v>16877</v>
      </c>
      <c r="G16">
        <v>32</v>
      </c>
      <c r="H16">
        <v>1347</v>
      </c>
      <c r="I16">
        <v>694</v>
      </c>
    </row>
    <row r="17" spans="1:9" x14ac:dyDescent="0.3">
      <c r="A17" t="s">
        <v>19</v>
      </c>
      <c r="B17">
        <v>27389394</v>
      </c>
      <c r="C17">
        <v>0.24308636363636363</v>
      </c>
      <c r="D17">
        <v>5</v>
      </c>
      <c r="E17">
        <v>350</v>
      </c>
      <c r="F17">
        <v>4068</v>
      </c>
      <c r="G17">
        <v>5</v>
      </c>
      <c r="H17">
        <v>556</v>
      </c>
      <c r="I17">
        <v>340</v>
      </c>
    </row>
    <row r="18" spans="1:9" x14ac:dyDescent="0.3">
      <c r="A18" t="s">
        <v>20</v>
      </c>
      <c r="B18">
        <v>55415190</v>
      </c>
      <c r="C18">
        <v>0.12089285714285714</v>
      </c>
      <c r="D18">
        <v>213</v>
      </c>
      <c r="E18">
        <v>10195</v>
      </c>
      <c r="F18">
        <v>63367</v>
      </c>
      <c r="G18">
        <v>45</v>
      </c>
      <c r="H18">
        <v>2359</v>
      </c>
      <c r="I18">
        <v>2136</v>
      </c>
    </row>
    <row r="19" spans="1:9" x14ac:dyDescent="0.3">
      <c r="A19" t="s">
        <v>21</v>
      </c>
      <c r="B19">
        <v>30596127</v>
      </c>
      <c r="C19">
        <v>3.8846153846153836E-2</v>
      </c>
      <c r="D19">
        <v>162</v>
      </c>
      <c r="E19">
        <v>4054</v>
      </c>
      <c r="F19">
        <v>42275</v>
      </c>
      <c r="G19">
        <v>252</v>
      </c>
      <c r="H19">
        <v>1120</v>
      </c>
      <c r="I19">
        <v>1169</v>
      </c>
    </row>
    <row r="20" spans="1:9" x14ac:dyDescent="0.3">
      <c r="A20" t="s">
        <v>82</v>
      </c>
      <c r="B20">
        <v>64473</v>
      </c>
      <c r="C20">
        <v>6.3E-2</v>
      </c>
      <c r="D20">
        <v>0</v>
      </c>
      <c r="E20">
        <v>0</v>
      </c>
      <c r="F20">
        <v>897</v>
      </c>
      <c r="G20">
        <v>0</v>
      </c>
      <c r="H20">
        <v>8</v>
      </c>
      <c r="I20">
        <v>8</v>
      </c>
    </row>
    <row r="21" spans="1:9" x14ac:dyDescent="0.3">
      <c r="A21" t="s">
        <v>22</v>
      </c>
      <c r="B21">
        <v>72626809</v>
      </c>
      <c r="C21">
        <v>0.20242200000000002</v>
      </c>
      <c r="D21">
        <v>23</v>
      </c>
      <c r="E21">
        <v>690</v>
      </c>
      <c r="F21">
        <v>31626</v>
      </c>
      <c r="G21">
        <v>15</v>
      </c>
      <c r="H21">
        <v>1771</v>
      </c>
      <c r="I21">
        <v>1112</v>
      </c>
    </row>
    <row r="22" spans="1:9" x14ac:dyDescent="0.3">
      <c r="A22" t="s">
        <v>23</v>
      </c>
      <c r="B22">
        <v>100887656</v>
      </c>
      <c r="C22">
        <v>0.1446290322580645</v>
      </c>
      <c r="D22">
        <v>71</v>
      </c>
      <c r="E22">
        <v>8836</v>
      </c>
      <c r="F22">
        <v>61768</v>
      </c>
      <c r="G22">
        <v>164</v>
      </c>
      <c r="H22">
        <v>3009</v>
      </c>
      <c r="I22">
        <v>2929</v>
      </c>
    </row>
    <row r="23" spans="1:9" x14ac:dyDescent="0.3">
      <c r="A23" t="s">
        <v>24</v>
      </c>
      <c r="B23">
        <v>2855794</v>
      </c>
      <c r="C23">
        <v>0.25541111111111114</v>
      </c>
      <c r="D23">
        <v>10</v>
      </c>
      <c r="E23">
        <v>0</v>
      </c>
      <c r="F23">
        <v>3714</v>
      </c>
      <c r="G23">
        <v>4</v>
      </c>
      <c r="H23">
        <v>238</v>
      </c>
      <c r="I23">
        <v>194</v>
      </c>
    </row>
    <row r="24" spans="1:9" x14ac:dyDescent="0.3">
      <c r="A24" t="s">
        <v>25</v>
      </c>
      <c r="B24">
        <v>2966889</v>
      </c>
      <c r="C24">
        <v>0.30394285714285713</v>
      </c>
      <c r="D24">
        <v>10</v>
      </c>
      <c r="E24">
        <v>100</v>
      </c>
      <c r="F24">
        <v>392</v>
      </c>
      <c r="G24">
        <v>0</v>
      </c>
      <c r="H24">
        <v>128</v>
      </c>
      <c r="I24">
        <v>130</v>
      </c>
    </row>
    <row r="25" spans="1:9" x14ac:dyDescent="0.3">
      <c r="A25" t="s">
        <v>26</v>
      </c>
      <c r="B25">
        <v>1097206</v>
      </c>
      <c r="C25">
        <v>0.2434625</v>
      </c>
      <c r="D25">
        <v>2</v>
      </c>
      <c r="E25">
        <v>100</v>
      </c>
      <c r="F25">
        <v>4354</v>
      </c>
      <c r="G25">
        <v>7</v>
      </c>
      <c r="H25">
        <v>152</v>
      </c>
      <c r="I25">
        <v>59</v>
      </c>
    </row>
    <row r="26" spans="1:9" x14ac:dyDescent="0.3">
      <c r="A26" t="s">
        <v>27</v>
      </c>
      <c r="B26">
        <v>1978502</v>
      </c>
      <c r="C26">
        <v>0.82280909090909093</v>
      </c>
      <c r="D26">
        <v>2</v>
      </c>
      <c r="E26">
        <v>10</v>
      </c>
      <c r="F26">
        <v>5134</v>
      </c>
      <c r="G26">
        <v>2</v>
      </c>
      <c r="H26">
        <v>108</v>
      </c>
      <c r="I26">
        <v>118</v>
      </c>
    </row>
    <row r="27" spans="1:9" x14ac:dyDescent="0.3">
      <c r="A27" t="s">
        <v>28</v>
      </c>
      <c r="B27">
        <v>41974218</v>
      </c>
      <c r="C27">
        <v>0.14249333333333333</v>
      </c>
      <c r="D27">
        <v>14</v>
      </c>
      <c r="E27">
        <v>903</v>
      </c>
      <c r="F27">
        <v>32032</v>
      </c>
      <c r="G27">
        <v>5</v>
      </c>
      <c r="H27">
        <v>1326</v>
      </c>
      <c r="I27">
        <v>917</v>
      </c>
    </row>
    <row r="28" spans="1:9" x14ac:dyDescent="0.3">
      <c r="A28" t="s">
        <v>42</v>
      </c>
      <c r="B28">
        <v>1247953</v>
      </c>
      <c r="C28">
        <v>0.34297500000000003</v>
      </c>
      <c r="D28">
        <v>0</v>
      </c>
      <c r="E28">
        <v>0</v>
      </c>
      <c r="F28">
        <v>9625</v>
      </c>
      <c r="G28">
        <v>9</v>
      </c>
      <c r="H28">
        <v>38</v>
      </c>
      <c r="I28">
        <v>46</v>
      </c>
    </row>
    <row r="29" spans="1:9" x14ac:dyDescent="0.3">
      <c r="A29" t="s">
        <v>29</v>
      </c>
      <c r="B29">
        <v>27743338</v>
      </c>
      <c r="C29">
        <v>0.13680500000000001</v>
      </c>
      <c r="D29">
        <v>9</v>
      </c>
      <c r="E29">
        <v>208</v>
      </c>
      <c r="F29">
        <v>66992</v>
      </c>
      <c r="G29">
        <v>171</v>
      </c>
      <c r="H29">
        <v>593</v>
      </c>
      <c r="I29">
        <v>480</v>
      </c>
    </row>
    <row r="30" spans="1:9" x14ac:dyDescent="0.3">
      <c r="A30" t="s">
        <v>30</v>
      </c>
      <c r="B30">
        <v>68548437</v>
      </c>
      <c r="C30">
        <v>0.21125454545454547</v>
      </c>
      <c r="D30">
        <v>137</v>
      </c>
      <c r="E30">
        <v>1391</v>
      </c>
      <c r="F30">
        <v>64911</v>
      </c>
      <c r="G30">
        <v>144</v>
      </c>
      <c r="H30">
        <v>2751</v>
      </c>
      <c r="I30">
        <v>2396</v>
      </c>
    </row>
    <row r="31" spans="1:9" x14ac:dyDescent="0.3">
      <c r="A31" t="s">
        <v>31</v>
      </c>
      <c r="B31">
        <v>610577</v>
      </c>
      <c r="C31">
        <v>0.1115</v>
      </c>
      <c r="D31">
        <v>1</v>
      </c>
      <c r="E31">
        <v>10</v>
      </c>
      <c r="F31">
        <v>1332</v>
      </c>
      <c r="G31">
        <v>1</v>
      </c>
      <c r="H31">
        <v>30</v>
      </c>
      <c r="I31">
        <v>24</v>
      </c>
    </row>
    <row r="32" spans="1:9" x14ac:dyDescent="0.3">
      <c r="A32" t="s">
        <v>32</v>
      </c>
      <c r="B32">
        <v>69424740</v>
      </c>
      <c r="C32">
        <v>0.14687741935483872</v>
      </c>
      <c r="D32">
        <v>293</v>
      </c>
      <c r="E32">
        <v>2381</v>
      </c>
      <c r="F32">
        <v>37305</v>
      </c>
      <c r="G32">
        <v>35</v>
      </c>
      <c r="H32">
        <v>3136</v>
      </c>
      <c r="I32">
        <v>2780</v>
      </c>
    </row>
    <row r="33" spans="1:9" x14ac:dyDescent="0.3">
      <c r="A33" t="s">
        <v>33</v>
      </c>
      <c r="B33">
        <v>3673917</v>
      </c>
      <c r="C33">
        <v>0.16752500000000001</v>
      </c>
      <c r="D33">
        <v>4</v>
      </c>
      <c r="E33">
        <v>60</v>
      </c>
      <c r="F33">
        <v>2247</v>
      </c>
      <c r="G33">
        <v>0</v>
      </c>
      <c r="H33">
        <v>132</v>
      </c>
      <c r="I33">
        <v>119</v>
      </c>
    </row>
    <row r="34" spans="1:9" x14ac:dyDescent="0.3">
      <c r="A34" t="s">
        <v>34</v>
      </c>
      <c r="B34">
        <v>194121100</v>
      </c>
      <c r="C34">
        <v>0.20016956521739129</v>
      </c>
      <c r="D34">
        <v>2316</v>
      </c>
      <c r="E34">
        <v>11461</v>
      </c>
      <c r="F34">
        <v>99586</v>
      </c>
      <c r="G34">
        <v>131</v>
      </c>
      <c r="H34">
        <v>4509</v>
      </c>
      <c r="I34">
        <v>1344</v>
      </c>
    </row>
    <row r="35" spans="1:9" x14ac:dyDescent="0.3">
      <c r="A35" t="s">
        <v>35</v>
      </c>
      <c r="B35">
        <v>10086292</v>
      </c>
      <c r="C35">
        <v>0.13057692307692309</v>
      </c>
      <c r="D35">
        <v>405</v>
      </c>
      <c r="E35">
        <v>2073</v>
      </c>
      <c r="F35">
        <v>18093</v>
      </c>
      <c r="G35">
        <v>28</v>
      </c>
      <c r="H35">
        <v>425</v>
      </c>
      <c r="I35">
        <v>241</v>
      </c>
    </row>
    <row r="36" spans="1:9" x14ac:dyDescent="0.3">
      <c r="A36" t="s">
        <v>36</v>
      </c>
      <c r="B36">
        <v>82519780</v>
      </c>
      <c r="C36">
        <v>0.13508124999999999</v>
      </c>
      <c r="D36">
        <v>22</v>
      </c>
      <c r="E36">
        <v>1150</v>
      </c>
      <c r="F36">
        <v>111825</v>
      </c>
      <c r="G36">
        <v>41</v>
      </c>
      <c r="H36">
        <v>1268</v>
      </c>
      <c r="I36">
        <v>1016</v>
      </c>
    </row>
  </sheetData>
  <phoneticPr fontId="18" type="noConversion"/>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3852C-706E-4A62-9975-CFBBABDD79FE}">
  <dimension ref="A1:C36"/>
  <sheetViews>
    <sheetView workbookViewId="0">
      <selection activeCell="A2" sqref="A2"/>
    </sheetView>
  </sheetViews>
  <sheetFormatPr defaultRowHeight="14.4" x14ac:dyDescent="0.3"/>
  <cols>
    <col min="1" max="1" width="25.109375" bestFit="1" customWidth="1"/>
    <col min="2" max="2" width="17.5546875" bestFit="1" customWidth="1"/>
    <col min="3" max="3" width="16.21875" bestFit="1" customWidth="1"/>
  </cols>
  <sheetData>
    <row r="1" spans="1:3" x14ac:dyDescent="0.3">
      <c r="A1" t="s">
        <v>84</v>
      </c>
      <c r="B1" t="s">
        <v>85</v>
      </c>
      <c r="C1" t="s">
        <v>86</v>
      </c>
    </row>
    <row r="2" spans="1:3" x14ac:dyDescent="0.3">
      <c r="A2" t="s">
        <v>23</v>
      </c>
      <c r="B2">
        <v>100887656</v>
      </c>
      <c r="C2">
        <v>0.1446290322580645</v>
      </c>
    </row>
    <row r="3" spans="1:3" x14ac:dyDescent="0.3">
      <c r="A3" t="s">
        <v>36</v>
      </c>
      <c r="B3">
        <v>82519780</v>
      </c>
      <c r="C3">
        <v>0.13508124999999999</v>
      </c>
    </row>
    <row r="4" spans="1:3" x14ac:dyDescent="0.3">
      <c r="A4" t="s">
        <v>20</v>
      </c>
      <c r="B4">
        <v>55415190</v>
      </c>
      <c r="C4">
        <v>0.12089285714285714</v>
      </c>
    </row>
    <row r="5" spans="1:3" x14ac:dyDescent="0.3">
      <c r="A5" t="s">
        <v>15</v>
      </c>
      <c r="B5">
        <v>54816245</v>
      </c>
      <c r="C5">
        <v>0.17310833333333334</v>
      </c>
    </row>
    <row r="6" spans="1:3" x14ac:dyDescent="0.3">
      <c r="A6" t="s">
        <v>30</v>
      </c>
      <c r="B6">
        <v>68548437</v>
      </c>
      <c r="C6">
        <v>0.21125454545454547</v>
      </c>
    </row>
    <row r="7" spans="1:3" x14ac:dyDescent="0.3">
      <c r="A7" t="s">
        <v>34</v>
      </c>
      <c r="B7">
        <v>194121100</v>
      </c>
      <c r="C7">
        <v>0.20016956521739129</v>
      </c>
    </row>
    <row r="8" spans="1:3" x14ac:dyDescent="0.3">
      <c r="A8" t="s">
        <v>11</v>
      </c>
      <c r="B8">
        <v>89751364</v>
      </c>
      <c r="C8">
        <v>0.25403636363636362</v>
      </c>
    </row>
    <row r="9" spans="1:3" x14ac:dyDescent="0.3">
      <c r="A9" t="s">
        <v>8</v>
      </c>
      <c r="B9">
        <v>67459740</v>
      </c>
      <c r="C9">
        <v>0.11214117647058824</v>
      </c>
    </row>
    <row r="10" spans="1:3" x14ac:dyDescent="0.3">
      <c r="A10" t="s">
        <v>32</v>
      </c>
      <c r="B10">
        <v>69424740</v>
      </c>
      <c r="C10">
        <v>0.14687741935483872</v>
      </c>
    </row>
    <row r="11" spans="1:3" x14ac:dyDescent="0.3">
      <c r="A11" t="s">
        <v>21</v>
      </c>
      <c r="B11">
        <v>30596127</v>
      </c>
      <c r="C11">
        <v>3.8846153846153836E-2</v>
      </c>
    </row>
    <row r="12" spans="1:3" x14ac:dyDescent="0.3">
      <c r="A12" t="s">
        <v>12</v>
      </c>
      <c r="B12">
        <v>25545198</v>
      </c>
      <c r="C12">
        <v>0.20034999999999994</v>
      </c>
    </row>
    <row r="13" spans="1:3" x14ac:dyDescent="0.3">
      <c r="A13" t="s">
        <v>13</v>
      </c>
      <c r="B13">
        <v>14056012</v>
      </c>
      <c r="C13">
        <v>0.13059999999999999</v>
      </c>
    </row>
    <row r="14" spans="1:3" x14ac:dyDescent="0.3">
      <c r="A14" t="s">
        <v>66</v>
      </c>
      <c r="B14">
        <v>41974218</v>
      </c>
      <c r="C14">
        <v>0.14249333333333333</v>
      </c>
    </row>
    <row r="15" spans="1:3" x14ac:dyDescent="0.3">
      <c r="A15" t="s">
        <v>29</v>
      </c>
      <c r="B15">
        <v>27743338</v>
      </c>
      <c r="C15">
        <v>0.13680500000000001</v>
      </c>
    </row>
    <row r="16" spans="1:3" x14ac:dyDescent="0.3">
      <c r="A16" t="s">
        <v>22</v>
      </c>
      <c r="B16">
        <v>72626809</v>
      </c>
      <c r="C16">
        <v>0.20242200000000002</v>
      </c>
    </row>
    <row r="17" spans="1:3" x14ac:dyDescent="0.3">
      <c r="A17" t="s">
        <v>19</v>
      </c>
      <c r="B17">
        <v>27389394</v>
      </c>
      <c r="C17">
        <v>0.24308636363636363</v>
      </c>
    </row>
    <row r="18" spans="1:3" x14ac:dyDescent="0.3">
      <c r="A18" t="s">
        <v>10</v>
      </c>
      <c r="B18">
        <v>28381808</v>
      </c>
      <c r="C18">
        <v>0.16313076923076925</v>
      </c>
    </row>
    <row r="19" spans="1:3" x14ac:dyDescent="0.3">
      <c r="A19" t="s">
        <v>35</v>
      </c>
      <c r="B19">
        <v>10086292</v>
      </c>
      <c r="C19">
        <v>0.13057692307692309</v>
      </c>
    </row>
    <row r="20" spans="1:3" x14ac:dyDescent="0.3">
      <c r="A20" t="s">
        <v>16</v>
      </c>
      <c r="B20">
        <v>25351462</v>
      </c>
      <c r="C20">
        <v>0.20492380952380954</v>
      </c>
    </row>
    <row r="21" spans="1:3" x14ac:dyDescent="0.3">
      <c r="A21" t="s">
        <v>33</v>
      </c>
      <c r="B21">
        <v>3673917</v>
      </c>
      <c r="C21">
        <v>0.16752500000000001</v>
      </c>
    </row>
    <row r="22" spans="1:3" x14ac:dyDescent="0.3">
      <c r="A22" t="s">
        <v>72</v>
      </c>
      <c r="B22">
        <v>12541302</v>
      </c>
      <c r="C22">
        <v>0.24270454545454545</v>
      </c>
    </row>
    <row r="23" spans="1:3" x14ac:dyDescent="0.3">
      <c r="A23" t="s">
        <v>17</v>
      </c>
      <c r="B23">
        <v>6864602</v>
      </c>
      <c r="C23">
        <v>0.113425</v>
      </c>
    </row>
    <row r="24" spans="1:3" x14ac:dyDescent="0.3">
      <c r="A24" t="s">
        <v>38</v>
      </c>
      <c r="B24">
        <v>1055450</v>
      </c>
      <c r="C24">
        <v>0.1719</v>
      </c>
    </row>
    <row r="25" spans="1:3" x14ac:dyDescent="0.3">
      <c r="A25" t="s">
        <v>42</v>
      </c>
      <c r="B25">
        <v>1247953</v>
      </c>
      <c r="C25">
        <v>0.34297500000000003</v>
      </c>
    </row>
    <row r="26" spans="1:3" x14ac:dyDescent="0.3">
      <c r="A26" t="s">
        <v>25</v>
      </c>
      <c r="B26">
        <v>2966889</v>
      </c>
      <c r="C26">
        <v>0.30394285714285713</v>
      </c>
    </row>
    <row r="27" spans="1:3" x14ac:dyDescent="0.3">
      <c r="A27" t="s">
        <v>14</v>
      </c>
      <c r="B27">
        <v>1458545</v>
      </c>
      <c r="C27">
        <v>8.2850000000000007E-2</v>
      </c>
    </row>
    <row r="28" spans="1:3" x14ac:dyDescent="0.3">
      <c r="A28" t="s">
        <v>24</v>
      </c>
      <c r="B28">
        <v>2855794</v>
      </c>
      <c r="C28">
        <v>0.25541111111111114</v>
      </c>
    </row>
    <row r="29" spans="1:3" x14ac:dyDescent="0.3">
      <c r="A29" t="s">
        <v>26</v>
      </c>
      <c r="B29">
        <v>1097206</v>
      </c>
      <c r="C29">
        <v>0.2434625</v>
      </c>
    </row>
    <row r="30" spans="1:3" x14ac:dyDescent="0.3">
      <c r="A30" t="s">
        <v>27</v>
      </c>
      <c r="B30">
        <v>1978502</v>
      </c>
      <c r="C30">
        <v>0.82280909090909093</v>
      </c>
    </row>
    <row r="31" spans="1:3" x14ac:dyDescent="0.3">
      <c r="A31" t="s">
        <v>78</v>
      </c>
      <c r="B31">
        <v>343709</v>
      </c>
      <c r="C31">
        <v>0.55879999999999996</v>
      </c>
    </row>
    <row r="32" spans="1:3" x14ac:dyDescent="0.3">
      <c r="A32" t="s">
        <v>31</v>
      </c>
      <c r="B32">
        <v>610577</v>
      </c>
      <c r="C32">
        <v>0.1115</v>
      </c>
    </row>
    <row r="33" spans="1:3" x14ac:dyDescent="0.3">
      <c r="A33" t="s">
        <v>75</v>
      </c>
      <c r="B33">
        <v>380581</v>
      </c>
      <c r="C33">
        <v>5.9666666666666757E-3</v>
      </c>
    </row>
    <row r="34" spans="1:3" x14ac:dyDescent="0.3">
      <c r="A34" t="s">
        <v>81</v>
      </c>
      <c r="B34">
        <v>243247</v>
      </c>
      <c r="C34">
        <v>0.4274</v>
      </c>
    </row>
    <row r="35" spans="1:3" x14ac:dyDescent="0.3">
      <c r="A35" t="s">
        <v>9</v>
      </c>
      <c r="B35">
        <v>1383727</v>
      </c>
      <c r="C35">
        <v>0.27805625</v>
      </c>
    </row>
    <row r="36" spans="1:3" x14ac:dyDescent="0.3">
      <c r="A36" t="s">
        <v>82</v>
      </c>
      <c r="B36">
        <v>64473</v>
      </c>
      <c r="C36">
        <v>6.3E-2</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C73ED4-6ECD-415C-B7EB-EB3D48A1C004}">
  <dimension ref="A1:B64"/>
  <sheetViews>
    <sheetView topLeftCell="A46" workbookViewId="0"/>
  </sheetViews>
  <sheetFormatPr defaultRowHeight="14.4" x14ac:dyDescent="0.3"/>
  <cols>
    <col min="1" max="1" width="25.109375" bestFit="1" customWidth="1"/>
    <col min="2" max="2" width="23.33203125" bestFit="1" customWidth="1"/>
  </cols>
  <sheetData>
    <row r="1" spans="1:2" x14ac:dyDescent="0.3">
      <c r="A1" t="s">
        <v>59</v>
      </c>
      <c r="B1" t="s">
        <v>60</v>
      </c>
    </row>
    <row r="2" spans="1:2" x14ac:dyDescent="0.3">
      <c r="A2" t="s">
        <v>8</v>
      </c>
      <c r="B2" t="s">
        <v>8</v>
      </c>
    </row>
    <row r="3" spans="1:2" x14ac:dyDescent="0.3">
      <c r="A3" t="s">
        <v>61</v>
      </c>
      <c r="B3" t="s">
        <v>8</v>
      </c>
    </row>
    <row r="4" spans="1:2" x14ac:dyDescent="0.3">
      <c r="A4" t="s">
        <v>9</v>
      </c>
      <c r="B4" t="s">
        <v>9</v>
      </c>
    </row>
    <row r="5" spans="1:2" x14ac:dyDescent="0.3">
      <c r="A5" t="s">
        <v>62</v>
      </c>
      <c r="B5" t="s">
        <v>9</v>
      </c>
    </row>
    <row r="6" spans="1:2" x14ac:dyDescent="0.3">
      <c r="A6" t="s">
        <v>10</v>
      </c>
      <c r="B6" t="s">
        <v>10</v>
      </c>
    </row>
    <row r="7" spans="1:2" x14ac:dyDescent="0.3">
      <c r="A7" t="s">
        <v>11</v>
      </c>
      <c r="B7" t="s">
        <v>11</v>
      </c>
    </row>
    <row r="8" spans="1:2" x14ac:dyDescent="0.3">
      <c r="A8" t="s">
        <v>12</v>
      </c>
      <c r="B8" t="s">
        <v>12</v>
      </c>
    </row>
    <row r="9" spans="1:2" x14ac:dyDescent="0.3">
      <c r="A9" t="s">
        <v>63</v>
      </c>
      <c r="B9" t="s">
        <v>12</v>
      </c>
    </row>
    <row r="10" spans="1:2" x14ac:dyDescent="0.3">
      <c r="A10" t="s">
        <v>14</v>
      </c>
      <c r="B10" t="s">
        <v>14</v>
      </c>
    </row>
    <row r="11" spans="1:2" x14ac:dyDescent="0.3">
      <c r="A11" t="s">
        <v>15</v>
      </c>
      <c r="B11" t="s">
        <v>15</v>
      </c>
    </row>
    <row r="12" spans="1:2" x14ac:dyDescent="0.3">
      <c r="A12" t="s">
        <v>16</v>
      </c>
      <c r="B12" t="s">
        <v>16</v>
      </c>
    </row>
    <row r="13" spans="1:2" x14ac:dyDescent="0.3">
      <c r="A13" t="s">
        <v>17</v>
      </c>
      <c r="B13" t="s">
        <v>17</v>
      </c>
    </row>
    <row r="14" spans="1:2" x14ac:dyDescent="0.3">
      <c r="A14" t="s">
        <v>64</v>
      </c>
      <c r="B14" t="s">
        <v>17</v>
      </c>
    </row>
    <row r="15" spans="1:2" x14ac:dyDescent="0.3">
      <c r="A15" t="s">
        <v>19</v>
      </c>
      <c r="B15" t="s">
        <v>19</v>
      </c>
    </row>
    <row r="16" spans="1:2" x14ac:dyDescent="0.3">
      <c r="A16" t="s">
        <v>20</v>
      </c>
      <c r="B16" t="s">
        <v>20</v>
      </c>
    </row>
    <row r="17" spans="1:2" x14ac:dyDescent="0.3">
      <c r="A17" t="s">
        <v>21</v>
      </c>
      <c r="B17" t="s">
        <v>21</v>
      </c>
    </row>
    <row r="18" spans="1:2" x14ac:dyDescent="0.3">
      <c r="A18" t="s">
        <v>22</v>
      </c>
      <c r="B18" t="s">
        <v>22</v>
      </c>
    </row>
    <row r="19" spans="1:2" x14ac:dyDescent="0.3">
      <c r="A19" t="s">
        <v>65</v>
      </c>
      <c r="B19" t="s">
        <v>22</v>
      </c>
    </row>
    <row r="20" spans="1:2" x14ac:dyDescent="0.3">
      <c r="A20" t="s">
        <v>23</v>
      </c>
      <c r="B20" t="s">
        <v>23</v>
      </c>
    </row>
    <row r="21" spans="1:2" x14ac:dyDescent="0.3">
      <c r="A21" t="s">
        <v>24</v>
      </c>
      <c r="B21" t="s">
        <v>24</v>
      </c>
    </row>
    <row r="22" spans="1:2" x14ac:dyDescent="0.3">
      <c r="A22" t="s">
        <v>25</v>
      </c>
      <c r="B22" t="s">
        <v>25</v>
      </c>
    </row>
    <row r="23" spans="1:2" x14ac:dyDescent="0.3">
      <c r="A23" t="s">
        <v>26</v>
      </c>
      <c r="B23" t="s">
        <v>26</v>
      </c>
    </row>
    <row r="24" spans="1:2" x14ac:dyDescent="0.3">
      <c r="A24" t="s">
        <v>27</v>
      </c>
      <c r="B24" t="s">
        <v>27</v>
      </c>
    </row>
    <row r="25" spans="1:2" x14ac:dyDescent="0.3">
      <c r="A25" t="s">
        <v>28</v>
      </c>
      <c r="B25" t="s">
        <v>28</v>
      </c>
    </row>
    <row r="26" spans="1:2" x14ac:dyDescent="0.3">
      <c r="A26" t="s">
        <v>66</v>
      </c>
      <c r="B26" t="s">
        <v>28</v>
      </c>
    </row>
    <row r="27" spans="1:2" x14ac:dyDescent="0.3">
      <c r="A27" t="s">
        <v>29</v>
      </c>
      <c r="B27" t="s">
        <v>29</v>
      </c>
    </row>
    <row r="28" spans="1:2" x14ac:dyDescent="0.3">
      <c r="A28" t="s">
        <v>30</v>
      </c>
      <c r="B28" t="s">
        <v>30</v>
      </c>
    </row>
    <row r="29" spans="1:2" x14ac:dyDescent="0.3">
      <c r="A29" t="s">
        <v>31</v>
      </c>
      <c r="B29" t="s">
        <v>31</v>
      </c>
    </row>
    <row r="30" spans="1:2" x14ac:dyDescent="0.3">
      <c r="A30" t="s">
        <v>32</v>
      </c>
      <c r="B30" t="s">
        <v>32</v>
      </c>
    </row>
    <row r="31" spans="1:2" x14ac:dyDescent="0.3">
      <c r="A31" t="s">
        <v>67</v>
      </c>
      <c r="B31" t="s">
        <v>32</v>
      </c>
    </row>
    <row r="32" spans="1:2" x14ac:dyDescent="0.3">
      <c r="A32" t="s">
        <v>43</v>
      </c>
      <c r="B32" t="s">
        <v>43</v>
      </c>
    </row>
    <row r="33" spans="1:2" x14ac:dyDescent="0.3">
      <c r="A33" t="s">
        <v>33</v>
      </c>
      <c r="B33" t="s">
        <v>33</v>
      </c>
    </row>
    <row r="34" spans="1:2" x14ac:dyDescent="0.3">
      <c r="A34" t="s">
        <v>34</v>
      </c>
      <c r="B34" t="s">
        <v>34</v>
      </c>
    </row>
    <row r="35" spans="1:2" x14ac:dyDescent="0.3">
      <c r="A35" t="s">
        <v>68</v>
      </c>
      <c r="B35" t="s">
        <v>34</v>
      </c>
    </row>
    <row r="36" spans="1:2" x14ac:dyDescent="0.3">
      <c r="A36" t="s">
        <v>91</v>
      </c>
      <c r="B36" t="s">
        <v>35</v>
      </c>
    </row>
    <row r="37" spans="1:2" x14ac:dyDescent="0.3">
      <c r="A37" t="s">
        <v>35</v>
      </c>
      <c r="B37" t="s">
        <v>35</v>
      </c>
    </row>
    <row r="38" spans="1:2" x14ac:dyDescent="0.3">
      <c r="A38" t="s">
        <v>69</v>
      </c>
      <c r="B38" t="s">
        <v>35</v>
      </c>
    </row>
    <row r="39" spans="1:2" x14ac:dyDescent="0.3">
      <c r="A39" t="s">
        <v>92</v>
      </c>
      <c r="B39" t="s">
        <v>36</v>
      </c>
    </row>
    <row r="40" spans="1:2" x14ac:dyDescent="0.3">
      <c r="A40" t="s">
        <v>36</v>
      </c>
      <c r="B40" t="s">
        <v>36</v>
      </c>
    </row>
    <row r="41" spans="1:2" x14ac:dyDescent="0.3">
      <c r="A41" t="s">
        <v>70</v>
      </c>
      <c r="B41" t="s">
        <v>36</v>
      </c>
    </row>
    <row r="42" spans="1:2" x14ac:dyDescent="0.3">
      <c r="A42" t="s">
        <v>13</v>
      </c>
      <c r="B42" t="s">
        <v>13</v>
      </c>
    </row>
    <row r="43" spans="1:2" x14ac:dyDescent="0.3">
      <c r="A43" t="s">
        <v>71</v>
      </c>
      <c r="B43" t="s">
        <v>13</v>
      </c>
    </row>
    <row r="44" spans="1:2" x14ac:dyDescent="0.3">
      <c r="A44" t="s">
        <v>18</v>
      </c>
      <c r="B44" t="s">
        <v>18</v>
      </c>
    </row>
    <row r="45" spans="1:2" x14ac:dyDescent="0.3">
      <c r="A45" t="s">
        <v>72</v>
      </c>
      <c r="B45" t="s">
        <v>18</v>
      </c>
    </row>
    <row r="46" spans="1:2" x14ac:dyDescent="0.3">
      <c r="A46" t="s">
        <v>73</v>
      </c>
      <c r="B46" t="s">
        <v>18</v>
      </c>
    </row>
    <row r="47" spans="1:2" x14ac:dyDescent="0.3">
      <c r="A47" t="s">
        <v>74</v>
      </c>
      <c r="B47" t="s">
        <v>74</v>
      </c>
    </row>
    <row r="48" spans="1:2" x14ac:dyDescent="0.3">
      <c r="A48" t="s">
        <v>37</v>
      </c>
      <c r="B48" t="s">
        <v>37</v>
      </c>
    </row>
    <row r="49" spans="1:2" x14ac:dyDescent="0.3">
      <c r="A49" t="s">
        <v>75</v>
      </c>
      <c r="B49" t="s">
        <v>37</v>
      </c>
    </row>
    <row r="50" spans="1:2" x14ac:dyDescent="0.3">
      <c r="A50" t="s">
        <v>95</v>
      </c>
      <c r="B50" t="s">
        <v>37</v>
      </c>
    </row>
    <row r="51" spans="1:2" x14ac:dyDescent="0.3">
      <c r="A51" t="s">
        <v>76</v>
      </c>
      <c r="B51" t="s">
        <v>37</v>
      </c>
    </row>
    <row r="52" spans="1:2" x14ac:dyDescent="0.3">
      <c r="A52" t="s">
        <v>38</v>
      </c>
      <c r="B52" t="s">
        <v>38</v>
      </c>
    </row>
    <row r="53" spans="1:2" x14ac:dyDescent="0.3">
      <c r="A53" t="s">
        <v>77</v>
      </c>
      <c r="B53" t="s">
        <v>77</v>
      </c>
    </row>
    <row r="54" spans="1:2" x14ac:dyDescent="0.3">
      <c r="A54" t="s">
        <v>78</v>
      </c>
      <c r="B54" t="s">
        <v>77</v>
      </c>
    </row>
    <row r="55" spans="1:2" x14ac:dyDescent="0.3">
      <c r="A55" t="s">
        <v>79</v>
      </c>
      <c r="B55" t="s">
        <v>77</v>
      </c>
    </row>
    <row r="56" spans="1:2" x14ac:dyDescent="0.3">
      <c r="A56" t="s">
        <v>80</v>
      </c>
      <c r="B56" t="s">
        <v>80</v>
      </c>
    </row>
    <row r="57" spans="1:2" x14ac:dyDescent="0.3">
      <c r="A57" t="s">
        <v>81</v>
      </c>
      <c r="B57" t="s">
        <v>80</v>
      </c>
    </row>
    <row r="58" spans="1:2" x14ac:dyDescent="0.3">
      <c r="A58" t="s">
        <v>82</v>
      </c>
      <c r="B58" t="s">
        <v>82</v>
      </c>
    </row>
    <row r="59" spans="1:2" x14ac:dyDescent="0.3">
      <c r="A59" t="s">
        <v>41</v>
      </c>
      <c r="B59" t="s">
        <v>82</v>
      </c>
    </row>
    <row r="60" spans="1:2" x14ac:dyDescent="0.3">
      <c r="A60" t="s">
        <v>90</v>
      </c>
      <c r="B60" t="s">
        <v>42</v>
      </c>
    </row>
    <row r="61" spans="1:2" x14ac:dyDescent="0.3">
      <c r="A61" t="s">
        <v>42</v>
      </c>
      <c r="B61" t="s">
        <v>42</v>
      </c>
    </row>
    <row r="62" spans="1:2" x14ac:dyDescent="0.3">
      <c r="A62" t="s">
        <v>83</v>
      </c>
      <c r="B62" t="s">
        <v>42</v>
      </c>
    </row>
    <row r="63" spans="1:2" x14ac:dyDescent="0.3">
      <c r="A63" t="s">
        <v>39</v>
      </c>
      <c r="B63" t="s">
        <v>77</v>
      </c>
    </row>
    <row r="64" spans="1:2" x14ac:dyDescent="0.3">
      <c r="A64" t="s">
        <v>40</v>
      </c>
      <c r="B64" t="s">
        <v>80</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C3FD97-0178-4A5E-862E-0F4658CEEA39}">
  <dimension ref="A1:B64"/>
  <sheetViews>
    <sheetView topLeftCell="A43" workbookViewId="0">
      <selection activeCell="A65" sqref="A65"/>
    </sheetView>
  </sheetViews>
  <sheetFormatPr defaultRowHeight="14.4" x14ac:dyDescent="0.3"/>
  <cols>
    <col min="1" max="1" width="25.109375" bestFit="1" customWidth="1"/>
    <col min="2" max="2" width="23.33203125" bestFit="1" customWidth="1"/>
  </cols>
  <sheetData>
    <row r="1" spans="1:2" x14ac:dyDescent="0.3">
      <c r="A1" t="s">
        <v>59</v>
      </c>
      <c r="B1" t="s">
        <v>60</v>
      </c>
    </row>
    <row r="2" spans="1:2" x14ac:dyDescent="0.3">
      <c r="A2" t="s">
        <v>8</v>
      </c>
      <c r="B2" t="s">
        <v>8</v>
      </c>
    </row>
    <row r="3" spans="1:2" x14ac:dyDescent="0.3">
      <c r="A3" t="s">
        <v>61</v>
      </c>
      <c r="B3" t="s">
        <v>8</v>
      </c>
    </row>
    <row r="4" spans="1:2" x14ac:dyDescent="0.3">
      <c r="A4" t="s">
        <v>9</v>
      </c>
      <c r="B4" t="s">
        <v>9</v>
      </c>
    </row>
    <row r="5" spans="1:2" x14ac:dyDescent="0.3">
      <c r="A5" t="s">
        <v>62</v>
      </c>
      <c r="B5" t="s">
        <v>9</v>
      </c>
    </row>
    <row r="6" spans="1:2" x14ac:dyDescent="0.3">
      <c r="A6" t="s">
        <v>10</v>
      </c>
      <c r="B6" t="s">
        <v>10</v>
      </c>
    </row>
    <row r="7" spans="1:2" x14ac:dyDescent="0.3">
      <c r="A7" t="s">
        <v>11</v>
      </c>
      <c r="B7" t="s">
        <v>11</v>
      </c>
    </row>
    <row r="8" spans="1:2" x14ac:dyDescent="0.3">
      <c r="A8" t="s">
        <v>12</v>
      </c>
      <c r="B8" t="s">
        <v>12</v>
      </c>
    </row>
    <row r="9" spans="1:2" x14ac:dyDescent="0.3">
      <c r="A9" t="s">
        <v>63</v>
      </c>
      <c r="B9" t="s">
        <v>12</v>
      </c>
    </row>
    <row r="10" spans="1:2" x14ac:dyDescent="0.3">
      <c r="A10" t="s">
        <v>14</v>
      </c>
      <c r="B10" t="s">
        <v>14</v>
      </c>
    </row>
    <row r="11" spans="1:2" x14ac:dyDescent="0.3">
      <c r="A11" t="s">
        <v>15</v>
      </c>
      <c r="B11" t="s">
        <v>15</v>
      </c>
    </row>
    <row r="12" spans="1:2" x14ac:dyDescent="0.3">
      <c r="A12" t="s">
        <v>16</v>
      </c>
      <c r="B12" t="s">
        <v>16</v>
      </c>
    </row>
    <row r="13" spans="1:2" x14ac:dyDescent="0.3">
      <c r="A13" t="s">
        <v>17</v>
      </c>
      <c r="B13" t="s">
        <v>17</v>
      </c>
    </row>
    <row r="14" spans="1:2" x14ac:dyDescent="0.3">
      <c r="A14" t="s">
        <v>64</v>
      </c>
      <c r="B14" t="s">
        <v>17</v>
      </c>
    </row>
    <row r="15" spans="1:2" x14ac:dyDescent="0.3">
      <c r="A15" t="s">
        <v>19</v>
      </c>
      <c r="B15" t="s">
        <v>19</v>
      </c>
    </row>
    <row r="16" spans="1:2" x14ac:dyDescent="0.3">
      <c r="A16" t="s">
        <v>20</v>
      </c>
      <c r="B16" t="s">
        <v>20</v>
      </c>
    </row>
    <row r="17" spans="1:2" x14ac:dyDescent="0.3">
      <c r="A17" t="s">
        <v>21</v>
      </c>
      <c r="B17" t="s">
        <v>21</v>
      </c>
    </row>
    <row r="18" spans="1:2" x14ac:dyDescent="0.3">
      <c r="A18" t="s">
        <v>22</v>
      </c>
      <c r="B18" t="s">
        <v>22</v>
      </c>
    </row>
    <row r="19" spans="1:2" x14ac:dyDescent="0.3">
      <c r="A19" t="s">
        <v>65</v>
      </c>
      <c r="B19" t="s">
        <v>22</v>
      </c>
    </row>
    <row r="20" spans="1:2" x14ac:dyDescent="0.3">
      <c r="A20" t="s">
        <v>23</v>
      </c>
      <c r="B20" t="s">
        <v>23</v>
      </c>
    </row>
    <row r="21" spans="1:2" x14ac:dyDescent="0.3">
      <c r="A21" t="s">
        <v>24</v>
      </c>
      <c r="B21" t="s">
        <v>24</v>
      </c>
    </row>
    <row r="22" spans="1:2" x14ac:dyDescent="0.3">
      <c r="A22" t="s">
        <v>25</v>
      </c>
      <c r="B22" t="s">
        <v>25</v>
      </c>
    </row>
    <row r="23" spans="1:2" x14ac:dyDescent="0.3">
      <c r="A23" t="s">
        <v>26</v>
      </c>
      <c r="B23" t="s">
        <v>26</v>
      </c>
    </row>
    <row r="24" spans="1:2" x14ac:dyDescent="0.3">
      <c r="A24" t="s">
        <v>27</v>
      </c>
      <c r="B24" t="s">
        <v>27</v>
      </c>
    </row>
    <row r="25" spans="1:2" x14ac:dyDescent="0.3">
      <c r="A25" t="s">
        <v>28</v>
      </c>
      <c r="B25" t="s">
        <v>28</v>
      </c>
    </row>
    <row r="26" spans="1:2" x14ac:dyDescent="0.3">
      <c r="A26" t="s">
        <v>66</v>
      </c>
      <c r="B26" t="s">
        <v>28</v>
      </c>
    </row>
    <row r="27" spans="1:2" x14ac:dyDescent="0.3">
      <c r="A27" t="s">
        <v>29</v>
      </c>
      <c r="B27" t="s">
        <v>29</v>
      </c>
    </row>
    <row r="28" spans="1:2" x14ac:dyDescent="0.3">
      <c r="A28" t="s">
        <v>30</v>
      </c>
      <c r="B28" t="s">
        <v>30</v>
      </c>
    </row>
    <row r="29" spans="1:2" x14ac:dyDescent="0.3">
      <c r="A29" t="s">
        <v>31</v>
      </c>
      <c r="B29" t="s">
        <v>31</v>
      </c>
    </row>
    <row r="30" spans="1:2" x14ac:dyDescent="0.3">
      <c r="A30" t="s">
        <v>32</v>
      </c>
      <c r="B30" t="s">
        <v>32</v>
      </c>
    </row>
    <row r="31" spans="1:2" x14ac:dyDescent="0.3">
      <c r="A31" t="s">
        <v>67</v>
      </c>
      <c r="B31" t="s">
        <v>32</v>
      </c>
    </row>
    <row r="32" spans="1:2" x14ac:dyDescent="0.3">
      <c r="A32" t="s">
        <v>43</v>
      </c>
      <c r="B32" t="s">
        <v>43</v>
      </c>
    </row>
    <row r="33" spans="1:2" x14ac:dyDescent="0.3">
      <c r="A33" t="s">
        <v>33</v>
      </c>
      <c r="B33" t="s">
        <v>33</v>
      </c>
    </row>
    <row r="34" spans="1:2" x14ac:dyDescent="0.3">
      <c r="A34" t="s">
        <v>34</v>
      </c>
      <c r="B34" t="s">
        <v>34</v>
      </c>
    </row>
    <row r="35" spans="1:2" x14ac:dyDescent="0.3">
      <c r="A35" t="s">
        <v>68</v>
      </c>
      <c r="B35" t="s">
        <v>34</v>
      </c>
    </row>
    <row r="36" spans="1:2" x14ac:dyDescent="0.3">
      <c r="A36" t="s">
        <v>91</v>
      </c>
      <c r="B36" t="s">
        <v>35</v>
      </c>
    </row>
    <row r="37" spans="1:2" x14ac:dyDescent="0.3">
      <c r="A37" t="s">
        <v>35</v>
      </c>
      <c r="B37" t="s">
        <v>35</v>
      </c>
    </row>
    <row r="38" spans="1:2" x14ac:dyDescent="0.3">
      <c r="A38" t="s">
        <v>69</v>
      </c>
      <c r="B38" t="s">
        <v>35</v>
      </c>
    </row>
    <row r="39" spans="1:2" x14ac:dyDescent="0.3">
      <c r="A39" t="s">
        <v>92</v>
      </c>
      <c r="B39" t="s">
        <v>36</v>
      </c>
    </row>
    <row r="40" spans="1:2" x14ac:dyDescent="0.3">
      <c r="A40" t="s">
        <v>36</v>
      </c>
      <c r="B40" t="s">
        <v>36</v>
      </c>
    </row>
    <row r="41" spans="1:2" x14ac:dyDescent="0.3">
      <c r="A41" t="s">
        <v>70</v>
      </c>
      <c r="B41" t="s">
        <v>36</v>
      </c>
    </row>
    <row r="42" spans="1:2" x14ac:dyDescent="0.3">
      <c r="A42" t="s">
        <v>13</v>
      </c>
      <c r="B42" t="s">
        <v>13</v>
      </c>
    </row>
    <row r="43" spans="1:2" x14ac:dyDescent="0.3">
      <c r="A43" t="s">
        <v>71</v>
      </c>
      <c r="B43" t="s">
        <v>13</v>
      </c>
    </row>
    <row r="44" spans="1:2" x14ac:dyDescent="0.3">
      <c r="A44" t="s">
        <v>18</v>
      </c>
      <c r="B44" t="s">
        <v>18</v>
      </c>
    </row>
    <row r="45" spans="1:2" x14ac:dyDescent="0.3">
      <c r="A45" t="s">
        <v>72</v>
      </c>
      <c r="B45" t="s">
        <v>18</v>
      </c>
    </row>
    <row r="46" spans="1:2" x14ac:dyDescent="0.3">
      <c r="A46" t="s">
        <v>73</v>
      </c>
      <c r="B46" t="s">
        <v>18</v>
      </c>
    </row>
    <row r="47" spans="1:2" x14ac:dyDescent="0.3">
      <c r="A47" t="s">
        <v>74</v>
      </c>
      <c r="B47" t="s">
        <v>74</v>
      </c>
    </row>
    <row r="48" spans="1:2" x14ac:dyDescent="0.3">
      <c r="A48" t="s">
        <v>37</v>
      </c>
      <c r="B48" t="s">
        <v>37</v>
      </c>
    </row>
    <row r="49" spans="1:2" x14ac:dyDescent="0.3">
      <c r="A49" t="s">
        <v>75</v>
      </c>
      <c r="B49" t="s">
        <v>37</v>
      </c>
    </row>
    <row r="50" spans="1:2" x14ac:dyDescent="0.3">
      <c r="A50" t="s">
        <v>95</v>
      </c>
      <c r="B50" t="s">
        <v>37</v>
      </c>
    </row>
    <row r="51" spans="1:2" x14ac:dyDescent="0.3">
      <c r="A51" t="s">
        <v>76</v>
      </c>
      <c r="B51" t="s">
        <v>37</v>
      </c>
    </row>
    <row r="52" spans="1:2" x14ac:dyDescent="0.3">
      <c r="A52" t="s">
        <v>38</v>
      </c>
      <c r="B52" t="s">
        <v>38</v>
      </c>
    </row>
    <row r="53" spans="1:2" x14ac:dyDescent="0.3">
      <c r="A53" t="s">
        <v>77</v>
      </c>
      <c r="B53" t="s">
        <v>77</v>
      </c>
    </row>
    <row r="54" spans="1:2" x14ac:dyDescent="0.3">
      <c r="A54" t="s">
        <v>78</v>
      </c>
      <c r="B54" t="s">
        <v>77</v>
      </c>
    </row>
    <row r="55" spans="1:2" x14ac:dyDescent="0.3">
      <c r="A55" t="s">
        <v>79</v>
      </c>
      <c r="B55" t="s">
        <v>77</v>
      </c>
    </row>
    <row r="56" spans="1:2" x14ac:dyDescent="0.3">
      <c r="A56" t="s">
        <v>80</v>
      </c>
      <c r="B56" t="s">
        <v>80</v>
      </c>
    </row>
    <row r="57" spans="1:2" x14ac:dyDescent="0.3">
      <c r="A57" t="s">
        <v>81</v>
      </c>
      <c r="B57" t="s">
        <v>80</v>
      </c>
    </row>
    <row r="58" spans="1:2" x14ac:dyDescent="0.3">
      <c r="A58" t="s">
        <v>82</v>
      </c>
      <c r="B58" t="s">
        <v>82</v>
      </c>
    </row>
    <row r="59" spans="1:2" x14ac:dyDescent="0.3">
      <c r="A59" t="s">
        <v>41</v>
      </c>
      <c r="B59" t="s">
        <v>82</v>
      </c>
    </row>
    <row r="60" spans="1:2" x14ac:dyDescent="0.3">
      <c r="A60" t="s">
        <v>90</v>
      </c>
      <c r="B60" t="s">
        <v>42</v>
      </c>
    </row>
    <row r="61" spans="1:2" x14ac:dyDescent="0.3">
      <c r="A61" t="s">
        <v>42</v>
      </c>
      <c r="B61" t="s">
        <v>42</v>
      </c>
    </row>
    <row r="62" spans="1:2" x14ac:dyDescent="0.3">
      <c r="A62" t="s">
        <v>83</v>
      </c>
      <c r="B62" t="s">
        <v>42</v>
      </c>
    </row>
    <row r="63" spans="1:2" x14ac:dyDescent="0.3">
      <c r="A63" t="s">
        <v>39</v>
      </c>
      <c r="B63" t="s">
        <v>77</v>
      </c>
    </row>
    <row r="64" spans="1:2" x14ac:dyDescent="0.3">
      <c r="A64" t="s">
        <v>40</v>
      </c>
      <c r="B64" t="s">
        <v>80</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51A5F4-16AF-4AEF-A7F9-D83A52A967D6}">
  <dimension ref="A1:C37"/>
  <sheetViews>
    <sheetView workbookViewId="0"/>
  </sheetViews>
  <sheetFormatPr defaultRowHeight="14.4" x14ac:dyDescent="0.3"/>
  <cols>
    <col min="1" max="1" width="23.33203125" bestFit="1" customWidth="1"/>
    <col min="2" max="2" width="11.21875" bestFit="1" customWidth="1"/>
    <col min="3" max="3" width="7.33203125" bestFit="1" customWidth="1"/>
  </cols>
  <sheetData>
    <row r="1" spans="1:3" x14ac:dyDescent="0.3">
      <c r="A1" t="s">
        <v>58</v>
      </c>
      <c r="B1" t="s">
        <v>93</v>
      </c>
      <c r="C1" t="s">
        <v>94</v>
      </c>
    </row>
    <row r="2" spans="1:3" x14ac:dyDescent="0.3">
      <c r="A2" t="s">
        <v>37</v>
      </c>
      <c r="B2">
        <v>5</v>
      </c>
      <c r="C2">
        <v>90</v>
      </c>
    </row>
    <row r="3" spans="1:3" x14ac:dyDescent="0.3">
      <c r="A3" t="s">
        <v>8</v>
      </c>
      <c r="B3">
        <v>8</v>
      </c>
      <c r="C3">
        <v>365</v>
      </c>
    </row>
    <row r="4" spans="1:3" x14ac:dyDescent="0.3">
      <c r="A4" t="s">
        <v>9</v>
      </c>
      <c r="B4">
        <v>12</v>
      </c>
      <c r="C4">
        <v>125</v>
      </c>
    </row>
    <row r="5" spans="1:3" x14ac:dyDescent="0.3">
      <c r="A5" t="s">
        <v>10</v>
      </c>
      <c r="B5">
        <v>4</v>
      </c>
      <c r="C5">
        <v>205</v>
      </c>
    </row>
    <row r="6" spans="1:3" x14ac:dyDescent="0.3">
      <c r="A6" t="s">
        <v>11</v>
      </c>
      <c r="B6">
        <v>8</v>
      </c>
      <c r="C6">
        <v>950</v>
      </c>
    </row>
    <row r="7" spans="1:3" x14ac:dyDescent="0.3">
      <c r="A7" t="s">
        <v>38</v>
      </c>
      <c r="B7">
        <v>2</v>
      </c>
      <c r="C7">
        <v>80</v>
      </c>
    </row>
    <row r="8" spans="1:3" x14ac:dyDescent="0.3">
      <c r="A8" t="s">
        <v>12</v>
      </c>
      <c r="B8">
        <v>15</v>
      </c>
      <c r="C8">
        <v>840</v>
      </c>
    </row>
    <row r="9" spans="1:3" x14ac:dyDescent="0.3">
      <c r="A9" t="s">
        <v>77</v>
      </c>
      <c r="B9">
        <v>0</v>
      </c>
      <c r="C9">
        <v>0</v>
      </c>
    </row>
    <row r="10" spans="1:3" x14ac:dyDescent="0.3">
      <c r="A10" t="s">
        <v>80</v>
      </c>
      <c r="B10">
        <v>2</v>
      </c>
      <c r="C10">
        <v>20</v>
      </c>
    </row>
    <row r="11" spans="1:3" x14ac:dyDescent="0.3">
      <c r="A11" t="s">
        <v>13</v>
      </c>
      <c r="B11">
        <v>5</v>
      </c>
      <c r="C11">
        <v>600</v>
      </c>
    </row>
    <row r="12" spans="1:3" x14ac:dyDescent="0.3">
      <c r="A12" t="s">
        <v>14</v>
      </c>
      <c r="B12">
        <v>2</v>
      </c>
      <c r="C12">
        <v>150</v>
      </c>
    </row>
    <row r="13" spans="1:3" x14ac:dyDescent="0.3">
      <c r="A13" t="s">
        <v>15</v>
      </c>
      <c r="B13">
        <v>64</v>
      </c>
      <c r="C13">
        <v>3258</v>
      </c>
    </row>
    <row r="14" spans="1:3" x14ac:dyDescent="0.3">
      <c r="A14" t="s">
        <v>16</v>
      </c>
      <c r="B14">
        <v>11</v>
      </c>
      <c r="C14">
        <v>745</v>
      </c>
    </row>
    <row r="15" spans="1:3" x14ac:dyDescent="0.3">
      <c r="A15" t="s">
        <v>17</v>
      </c>
      <c r="B15">
        <v>34</v>
      </c>
      <c r="C15">
        <v>710</v>
      </c>
    </row>
    <row r="16" spans="1:3" x14ac:dyDescent="0.3">
      <c r="A16" t="s">
        <v>18</v>
      </c>
      <c r="B16">
        <v>2</v>
      </c>
      <c r="C16">
        <v>75</v>
      </c>
    </row>
    <row r="17" spans="1:3" x14ac:dyDescent="0.3">
      <c r="A17" t="s">
        <v>19</v>
      </c>
      <c r="B17">
        <v>5</v>
      </c>
      <c r="C17">
        <v>350</v>
      </c>
    </row>
    <row r="18" spans="1:3" x14ac:dyDescent="0.3">
      <c r="A18" t="s">
        <v>20</v>
      </c>
      <c r="B18">
        <v>213</v>
      </c>
      <c r="C18">
        <v>10195</v>
      </c>
    </row>
    <row r="19" spans="1:3" x14ac:dyDescent="0.3">
      <c r="A19" t="s">
        <v>21</v>
      </c>
      <c r="B19">
        <v>162</v>
      </c>
      <c r="C19">
        <v>4054</v>
      </c>
    </row>
    <row r="20" spans="1:3" x14ac:dyDescent="0.3">
      <c r="A20" t="s">
        <v>82</v>
      </c>
      <c r="B20">
        <v>0</v>
      </c>
      <c r="C20">
        <v>0</v>
      </c>
    </row>
    <row r="21" spans="1:3" x14ac:dyDescent="0.3">
      <c r="A21" t="s">
        <v>22</v>
      </c>
      <c r="B21">
        <v>23</v>
      </c>
      <c r="C21">
        <v>690</v>
      </c>
    </row>
    <row r="22" spans="1:3" x14ac:dyDescent="0.3">
      <c r="A22" t="s">
        <v>23</v>
      </c>
      <c r="B22">
        <v>71</v>
      </c>
      <c r="C22">
        <v>8836</v>
      </c>
    </row>
    <row r="23" spans="1:3" x14ac:dyDescent="0.3">
      <c r="A23" t="s">
        <v>24</v>
      </c>
      <c r="B23">
        <v>10</v>
      </c>
      <c r="C23">
        <v>0</v>
      </c>
    </row>
    <row r="24" spans="1:3" x14ac:dyDescent="0.3">
      <c r="A24" t="s">
        <v>25</v>
      </c>
      <c r="B24">
        <v>10</v>
      </c>
      <c r="C24">
        <v>100</v>
      </c>
    </row>
    <row r="25" spans="1:3" x14ac:dyDescent="0.3">
      <c r="A25" t="s">
        <v>26</v>
      </c>
      <c r="B25">
        <v>2</v>
      </c>
      <c r="C25">
        <v>100</v>
      </c>
    </row>
    <row r="26" spans="1:3" x14ac:dyDescent="0.3">
      <c r="A26" t="s">
        <v>27</v>
      </c>
      <c r="B26">
        <v>2</v>
      </c>
      <c r="C26">
        <v>10</v>
      </c>
    </row>
    <row r="27" spans="1:3" x14ac:dyDescent="0.3">
      <c r="A27" t="s">
        <v>28</v>
      </c>
      <c r="B27">
        <v>14</v>
      </c>
      <c r="C27">
        <v>903</v>
      </c>
    </row>
    <row r="28" spans="1:3" x14ac:dyDescent="0.3">
      <c r="A28" t="s">
        <v>42</v>
      </c>
      <c r="B28">
        <v>0</v>
      </c>
      <c r="C28">
        <v>0</v>
      </c>
    </row>
    <row r="29" spans="1:3" x14ac:dyDescent="0.3">
      <c r="A29" t="s">
        <v>29</v>
      </c>
      <c r="B29">
        <v>9</v>
      </c>
      <c r="C29">
        <v>208</v>
      </c>
    </row>
    <row r="30" spans="1:3" x14ac:dyDescent="0.3">
      <c r="A30" t="s">
        <v>30</v>
      </c>
      <c r="B30">
        <v>137</v>
      </c>
      <c r="C30">
        <v>1391</v>
      </c>
    </row>
    <row r="31" spans="1:3" x14ac:dyDescent="0.3">
      <c r="A31" t="s">
        <v>31</v>
      </c>
      <c r="B31">
        <v>1</v>
      </c>
      <c r="C31">
        <v>10</v>
      </c>
    </row>
    <row r="32" spans="1:3" x14ac:dyDescent="0.3">
      <c r="A32" t="s">
        <v>32</v>
      </c>
      <c r="B32">
        <v>293</v>
      </c>
      <c r="C32">
        <v>2381</v>
      </c>
    </row>
    <row r="33" spans="1:3" x14ac:dyDescent="0.3">
      <c r="A33" t="s">
        <v>43</v>
      </c>
      <c r="B33">
        <v>20</v>
      </c>
      <c r="C33">
        <v>841</v>
      </c>
    </row>
    <row r="34" spans="1:3" x14ac:dyDescent="0.3">
      <c r="A34" t="s">
        <v>33</v>
      </c>
      <c r="B34">
        <v>4</v>
      </c>
      <c r="C34">
        <v>60</v>
      </c>
    </row>
    <row r="35" spans="1:3" x14ac:dyDescent="0.3">
      <c r="A35" t="s">
        <v>34</v>
      </c>
      <c r="B35">
        <v>2316</v>
      </c>
      <c r="C35">
        <v>11461</v>
      </c>
    </row>
    <row r="36" spans="1:3" x14ac:dyDescent="0.3">
      <c r="A36" t="s">
        <v>35</v>
      </c>
      <c r="B36">
        <v>405</v>
      </c>
      <c r="C36">
        <v>2073</v>
      </c>
    </row>
    <row r="37" spans="1:3" x14ac:dyDescent="0.3">
      <c r="A37" t="s">
        <v>36</v>
      </c>
      <c r="B37">
        <v>22</v>
      </c>
      <c r="C37">
        <v>1150</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F2E31-44BF-4980-AEAB-AA7DAF74BC87}">
  <dimension ref="A1:C37"/>
  <sheetViews>
    <sheetView workbookViewId="0">
      <selection activeCell="A2" sqref="A2"/>
    </sheetView>
  </sheetViews>
  <sheetFormatPr defaultRowHeight="14.4" x14ac:dyDescent="0.3"/>
  <cols>
    <col min="1" max="1" width="23.33203125" bestFit="1" customWidth="1"/>
    <col min="2" max="2" width="11.21875" bestFit="1" customWidth="1"/>
    <col min="3" max="3" width="7.33203125" bestFit="1" customWidth="1"/>
    <col min="4" max="4" width="29.44140625" bestFit="1" customWidth="1"/>
  </cols>
  <sheetData>
    <row r="1" spans="1:3" x14ac:dyDescent="0.3">
      <c r="A1" t="s">
        <v>58</v>
      </c>
      <c r="B1" t="s">
        <v>93</v>
      </c>
      <c r="C1" t="s">
        <v>94</v>
      </c>
    </row>
    <row r="2" spans="1:3" x14ac:dyDescent="0.3">
      <c r="A2" t="s">
        <v>8</v>
      </c>
      <c r="B2">
        <v>8</v>
      </c>
      <c r="C2">
        <v>365</v>
      </c>
    </row>
    <row r="3" spans="1:3" x14ac:dyDescent="0.3">
      <c r="A3" t="s">
        <v>9</v>
      </c>
      <c r="B3">
        <v>12</v>
      </c>
      <c r="C3">
        <v>125</v>
      </c>
    </row>
    <row r="4" spans="1:3" x14ac:dyDescent="0.3">
      <c r="A4" t="s">
        <v>10</v>
      </c>
      <c r="B4">
        <v>4</v>
      </c>
      <c r="C4">
        <v>205</v>
      </c>
    </row>
    <row r="5" spans="1:3" x14ac:dyDescent="0.3">
      <c r="A5" t="s">
        <v>11</v>
      </c>
      <c r="B5">
        <v>8</v>
      </c>
      <c r="C5">
        <v>950</v>
      </c>
    </row>
    <row r="6" spans="1:3" x14ac:dyDescent="0.3">
      <c r="A6" t="s">
        <v>12</v>
      </c>
      <c r="B6">
        <v>15</v>
      </c>
      <c r="C6">
        <v>840</v>
      </c>
    </row>
    <row r="7" spans="1:3" x14ac:dyDescent="0.3">
      <c r="A7" t="s">
        <v>14</v>
      </c>
      <c r="B7">
        <v>2</v>
      </c>
      <c r="C7">
        <v>150</v>
      </c>
    </row>
    <row r="8" spans="1:3" x14ac:dyDescent="0.3">
      <c r="A8" t="s">
        <v>15</v>
      </c>
      <c r="B8">
        <v>64</v>
      </c>
      <c r="C8">
        <v>3258</v>
      </c>
    </row>
    <row r="9" spans="1:3" x14ac:dyDescent="0.3">
      <c r="A9" t="s">
        <v>16</v>
      </c>
      <c r="B9">
        <v>11</v>
      </c>
      <c r="C9">
        <v>745</v>
      </c>
    </row>
    <row r="10" spans="1:3" x14ac:dyDescent="0.3">
      <c r="A10" t="s">
        <v>17</v>
      </c>
      <c r="B10">
        <v>34</v>
      </c>
      <c r="C10">
        <v>710</v>
      </c>
    </row>
    <row r="11" spans="1:3" x14ac:dyDescent="0.3">
      <c r="A11" t="s">
        <v>19</v>
      </c>
      <c r="B11">
        <v>5</v>
      </c>
      <c r="C11">
        <v>350</v>
      </c>
    </row>
    <row r="12" spans="1:3" x14ac:dyDescent="0.3">
      <c r="A12" t="s">
        <v>20</v>
      </c>
      <c r="B12">
        <v>213</v>
      </c>
      <c r="C12">
        <v>10195</v>
      </c>
    </row>
    <row r="13" spans="1:3" x14ac:dyDescent="0.3">
      <c r="A13" t="s">
        <v>21</v>
      </c>
      <c r="B13">
        <v>162</v>
      </c>
      <c r="C13">
        <v>4054</v>
      </c>
    </row>
    <row r="14" spans="1:3" x14ac:dyDescent="0.3">
      <c r="A14" t="s">
        <v>22</v>
      </c>
      <c r="B14">
        <v>23</v>
      </c>
      <c r="C14">
        <v>690</v>
      </c>
    </row>
    <row r="15" spans="1:3" x14ac:dyDescent="0.3">
      <c r="A15" t="s">
        <v>23</v>
      </c>
      <c r="B15">
        <v>71</v>
      </c>
      <c r="C15">
        <v>8836</v>
      </c>
    </row>
    <row r="16" spans="1:3" x14ac:dyDescent="0.3">
      <c r="A16" t="s">
        <v>24</v>
      </c>
      <c r="B16">
        <v>10</v>
      </c>
      <c r="C16">
        <v>0</v>
      </c>
    </row>
    <row r="17" spans="1:3" x14ac:dyDescent="0.3">
      <c r="A17" t="s">
        <v>25</v>
      </c>
      <c r="B17">
        <v>10</v>
      </c>
      <c r="C17">
        <v>100</v>
      </c>
    </row>
    <row r="18" spans="1:3" x14ac:dyDescent="0.3">
      <c r="A18" t="s">
        <v>26</v>
      </c>
      <c r="B18">
        <v>2</v>
      </c>
      <c r="C18">
        <v>100</v>
      </c>
    </row>
    <row r="19" spans="1:3" x14ac:dyDescent="0.3">
      <c r="A19" t="s">
        <v>27</v>
      </c>
      <c r="B19">
        <v>2</v>
      </c>
      <c r="C19">
        <v>10</v>
      </c>
    </row>
    <row r="20" spans="1:3" x14ac:dyDescent="0.3">
      <c r="A20" t="s">
        <v>28</v>
      </c>
      <c r="B20">
        <v>14</v>
      </c>
      <c r="C20">
        <v>903</v>
      </c>
    </row>
    <row r="21" spans="1:3" x14ac:dyDescent="0.3">
      <c r="A21" t="s">
        <v>29</v>
      </c>
      <c r="B21">
        <v>9</v>
      </c>
      <c r="C21">
        <v>208</v>
      </c>
    </row>
    <row r="22" spans="1:3" x14ac:dyDescent="0.3">
      <c r="A22" t="s">
        <v>30</v>
      </c>
      <c r="B22">
        <v>137</v>
      </c>
      <c r="C22">
        <v>1391</v>
      </c>
    </row>
    <row r="23" spans="1:3" x14ac:dyDescent="0.3">
      <c r="A23" t="s">
        <v>31</v>
      </c>
      <c r="B23">
        <v>1</v>
      </c>
      <c r="C23">
        <v>10</v>
      </c>
    </row>
    <row r="24" spans="1:3" x14ac:dyDescent="0.3">
      <c r="A24" t="s">
        <v>32</v>
      </c>
      <c r="B24">
        <v>293</v>
      </c>
      <c r="C24">
        <v>2381</v>
      </c>
    </row>
    <row r="25" spans="1:3" x14ac:dyDescent="0.3">
      <c r="A25" t="s">
        <v>43</v>
      </c>
      <c r="B25">
        <v>20</v>
      </c>
      <c r="C25">
        <v>841</v>
      </c>
    </row>
    <row r="26" spans="1:3" x14ac:dyDescent="0.3">
      <c r="A26" t="s">
        <v>33</v>
      </c>
      <c r="B26">
        <v>4</v>
      </c>
      <c r="C26">
        <v>60</v>
      </c>
    </row>
    <row r="27" spans="1:3" x14ac:dyDescent="0.3">
      <c r="A27" t="s">
        <v>34</v>
      </c>
      <c r="B27">
        <v>2316</v>
      </c>
      <c r="C27">
        <v>11461</v>
      </c>
    </row>
    <row r="28" spans="1:3" x14ac:dyDescent="0.3">
      <c r="A28" t="s">
        <v>13</v>
      </c>
      <c r="B28">
        <v>5</v>
      </c>
      <c r="C28">
        <v>600</v>
      </c>
    </row>
    <row r="29" spans="1:3" x14ac:dyDescent="0.3">
      <c r="A29" t="s">
        <v>18</v>
      </c>
      <c r="B29">
        <v>2</v>
      </c>
      <c r="C29">
        <v>75</v>
      </c>
    </row>
    <row r="30" spans="1:3" x14ac:dyDescent="0.3">
      <c r="A30" t="s">
        <v>37</v>
      </c>
      <c r="B30">
        <v>5</v>
      </c>
      <c r="C30">
        <v>90</v>
      </c>
    </row>
    <row r="31" spans="1:3" x14ac:dyDescent="0.3">
      <c r="A31" t="s">
        <v>38</v>
      </c>
      <c r="B31">
        <v>2</v>
      </c>
      <c r="C31">
        <v>80</v>
      </c>
    </row>
    <row r="32" spans="1:3" x14ac:dyDescent="0.3">
      <c r="A32" t="s">
        <v>41</v>
      </c>
      <c r="B32">
        <v>0</v>
      </c>
      <c r="C32">
        <v>0</v>
      </c>
    </row>
    <row r="33" spans="1:3" x14ac:dyDescent="0.3">
      <c r="A33" t="s">
        <v>39</v>
      </c>
      <c r="B33">
        <v>0</v>
      </c>
      <c r="C33">
        <v>0</v>
      </c>
    </row>
    <row r="34" spans="1:3" x14ac:dyDescent="0.3">
      <c r="A34" t="s">
        <v>40</v>
      </c>
      <c r="B34">
        <v>2</v>
      </c>
      <c r="C34">
        <v>20</v>
      </c>
    </row>
    <row r="35" spans="1:3" x14ac:dyDescent="0.3">
      <c r="A35" t="s">
        <v>42</v>
      </c>
      <c r="B35">
        <v>0</v>
      </c>
      <c r="C35">
        <v>0</v>
      </c>
    </row>
    <row r="36" spans="1:3" x14ac:dyDescent="0.3">
      <c r="A36" t="s">
        <v>35</v>
      </c>
      <c r="B36">
        <v>405</v>
      </c>
      <c r="C36">
        <v>2073</v>
      </c>
    </row>
    <row r="37" spans="1:3" x14ac:dyDescent="0.3">
      <c r="A37" t="s">
        <v>36</v>
      </c>
      <c r="B37">
        <v>22</v>
      </c>
      <c r="C37">
        <v>1150</v>
      </c>
    </row>
  </sheetData>
  <phoneticPr fontId="18" type="noConversion"/>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44"/>
  <sheetViews>
    <sheetView topLeftCell="A31" workbookViewId="0">
      <selection activeCell="B5" sqref="B5"/>
    </sheetView>
  </sheetViews>
  <sheetFormatPr defaultRowHeight="14.4" x14ac:dyDescent="0.3"/>
  <cols>
    <col min="1" max="9" width="10.33203125" customWidth="1"/>
    <col min="10" max="10" width="11.33203125" customWidth="1"/>
  </cols>
  <sheetData>
    <row r="1" spans="1:10" x14ac:dyDescent="0.3">
      <c r="A1" t="s">
        <v>48</v>
      </c>
      <c r="B1" t="s">
        <v>49</v>
      </c>
      <c r="C1" t="s">
        <v>50</v>
      </c>
      <c r="D1" t="s">
        <v>51</v>
      </c>
      <c r="E1" t="s">
        <v>52</v>
      </c>
      <c r="F1" t="s">
        <v>53</v>
      </c>
      <c r="G1" t="s">
        <v>54</v>
      </c>
      <c r="H1" t="s">
        <v>55</v>
      </c>
      <c r="I1" t="s">
        <v>56</v>
      </c>
      <c r="J1" t="s">
        <v>57</v>
      </c>
    </row>
    <row r="2" spans="1:10" x14ac:dyDescent="0.3">
      <c r="A2" t="s">
        <v>0</v>
      </c>
      <c r="B2" t="s">
        <v>1</v>
      </c>
      <c r="C2" t="s">
        <v>2</v>
      </c>
      <c r="G2" t="s">
        <v>3</v>
      </c>
    </row>
    <row r="3" spans="1:10" x14ac:dyDescent="0.3">
      <c r="C3" t="s">
        <v>4</v>
      </c>
      <c r="D3" t="s">
        <v>5</v>
      </c>
      <c r="E3" t="s">
        <v>6</v>
      </c>
      <c r="F3" t="s">
        <v>7</v>
      </c>
      <c r="G3" t="s">
        <v>4</v>
      </c>
      <c r="H3" t="s">
        <v>5</v>
      </c>
      <c r="I3" t="s">
        <v>6</v>
      </c>
      <c r="J3" t="s">
        <v>7</v>
      </c>
    </row>
    <row r="4" spans="1:10" x14ac:dyDescent="0.3">
      <c r="A4">
        <v>-1</v>
      </c>
      <c r="B4">
        <v>-2</v>
      </c>
      <c r="C4">
        <v>-3</v>
      </c>
      <c r="D4">
        <v>-4</v>
      </c>
      <c r="E4">
        <v>-5</v>
      </c>
      <c r="F4">
        <v>-6</v>
      </c>
      <c r="G4">
        <v>-7</v>
      </c>
      <c r="H4">
        <v>-8</v>
      </c>
      <c r="I4">
        <v>-9</v>
      </c>
      <c r="J4">
        <v>-10</v>
      </c>
    </row>
    <row r="5" spans="1:10" x14ac:dyDescent="0.3">
      <c r="A5">
        <v>1</v>
      </c>
      <c r="B5" t="s">
        <v>8</v>
      </c>
      <c r="C5">
        <v>8</v>
      </c>
      <c r="D5">
        <v>0</v>
      </c>
      <c r="E5">
        <v>0</v>
      </c>
      <c r="F5">
        <v>8</v>
      </c>
      <c r="G5">
        <v>365</v>
      </c>
      <c r="H5">
        <v>0</v>
      </c>
      <c r="I5">
        <v>0</v>
      </c>
      <c r="J5">
        <v>365</v>
      </c>
    </row>
    <row r="6" spans="1:10" x14ac:dyDescent="0.3">
      <c r="A6">
        <v>2</v>
      </c>
      <c r="B6" t="s">
        <v>9</v>
      </c>
      <c r="C6">
        <v>11</v>
      </c>
      <c r="D6">
        <v>0</v>
      </c>
      <c r="E6">
        <v>1</v>
      </c>
      <c r="F6">
        <v>12</v>
      </c>
      <c r="G6">
        <v>100</v>
      </c>
      <c r="H6">
        <v>0</v>
      </c>
      <c r="I6">
        <v>25</v>
      </c>
      <c r="J6">
        <v>125</v>
      </c>
    </row>
    <row r="7" spans="1:10" x14ac:dyDescent="0.3">
      <c r="A7">
        <v>3</v>
      </c>
      <c r="B7" t="s">
        <v>10</v>
      </c>
      <c r="C7">
        <v>4</v>
      </c>
      <c r="D7">
        <v>0</v>
      </c>
      <c r="E7">
        <v>0</v>
      </c>
      <c r="F7">
        <v>4</v>
      </c>
      <c r="G7">
        <v>205</v>
      </c>
      <c r="H7">
        <v>0</v>
      </c>
      <c r="I7">
        <v>0</v>
      </c>
      <c r="J7">
        <v>205</v>
      </c>
    </row>
    <row r="8" spans="1:10" x14ac:dyDescent="0.3">
      <c r="A8">
        <v>4</v>
      </c>
      <c r="B8" t="s">
        <v>11</v>
      </c>
      <c r="C8">
        <v>8</v>
      </c>
      <c r="D8">
        <v>0</v>
      </c>
      <c r="E8">
        <v>0</v>
      </c>
      <c r="F8">
        <v>8</v>
      </c>
      <c r="G8">
        <v>950</v>
      </c>
      <c r="H8">
        <v>0</v>
      </c>
      <c r="I8">
        <v>0</v>
      </c>
      <c r="J8">
        <v>950</v>
      </c>
    </row>
    <row r="9" spans="1:10" x14ac:dyDescent="0.3">
      <c r="A9">
        <v>5</v>
      </c>
      <c r="B9" t="s">
        <v>12</v>
      </c>
      <c r="C9">
        <v>7</v>
      </c>
      <c r="D9">
        <v>0</v>
      </c>
      <c r="E9">
        <v>8</v>
      </c>
      <c r="F9">
        <v>15</v>
      </c>
      <c r="G9">
        <v>370</v>
      </c>
      <c r="H9">
        <v>0</v>
      </c>
      <c r="I9">
        <v>470</v>
      </c>
      <c r="J9">
        <v>840</v>
      </c>
    </row>
    <row r="10" spans="1:10" x14ac:dyDescent="0.3">
      <c r="A10">
        <v>6</v>
      </c>
      <c r="B10" t="s">
        <v>13</v>
      </c>
      <c r="C10">
        <v>4</v>
      </c>
      <c r="D10">
        <v>0</v>
      </c>
      <c r="E10">
        <v>1</v>
      </c>
      <c r="F10">
        <v>5</v>
      </c>
      <c r="G10">
        <v>390</v>
      </c>
      <c r="H10">
        <v>0</v>
      </c>
      <c r="I10">
        <v>210</v>
      </c>
      <c r="J10">
        <v>600</v>
      </c>
    </row>
    <row r="11" spans="1:10" x14ac:dyDescent="0.3">
      <c r="A11">
        <v>7</v>
      </c>
      <c r="B11" t="s">
        <v>14</v>
      </c>
      <c r="C11">
        <v>0</v>
      </c>
      <c r="D11">
        <v>2</v>
      </c>
      <c r="E11">
        <v>0</v>
      </c>
      <c r="F11">
        <v>2</v>
      </c>
      <c r="G11">
        <v>0</v>
      </c>
      <c r="H11">
        <v>150</v>
      </c>
      <c r="I11">
        <v>0</v>
      </c>
      <c r="J11">
        <v>150</v>
      </c>
    </row>
    <row r="12" spans="1:10" x14ac:dyDescent="0.3">
      <c r="A12">
        <v>8</v>
      </c>
      <c r="B12" t="s">
        <v>15</v>
      </c>
      <c r="C12">
        <v>35</v>
      </c>
      <c r="D12">
        <v>29</v>
      </c>
      <c r="E12">
        <v>0</v>
      </c>
      <c r="F12">
        <v>64</v>
      </c>
      <c r="G12">
        <v>1495</v>
      </c>
      <c r="H12">
        <v>1763</v>
      </c>
      <c r="I12">
        <v>0</v>
      </c>
      <c r="J12">
        <v>3258</v>
      </c>
    </row>
    <row r="13" spans="1:10" x14ac:dyDescent="0.3">
      <c r="A13">
        <v>9</v>
      </c>
      <c r="B13" t="s">
        <v>16</v>
      </c>
      <c r="C13">
        <v>4</v>
      </c>
      <c r="D13">
        <v>0</v>
      </c>
      <c r="E13">
        <v>7</v>
      </c>
      <c r="F13">
        <v>11</v>
      </c>
      <c r="G13">
        <v>145</v>
      </c>
      <c r="H13">
        <v>0</v>
      </c>
      <c r="I13">
        <v>600</v>
      </c>
      <c r="J13">
        <v>745</v>
      </c>
    </row>
    <row r="14" spans="1:10" x14ac:dyDescent="0.3">
      <c r="A14">
        <v>10</v>
      </c>
      <c r="B14" t="s">
        <v>17</v>
      </c>
      <c r="C14">
        <v>34</v>
      </c>
      <c r="D14">
        <v>0</v>
      </c>
      <c r="E14">
        <v>0</v>
      </c>
      <c r="F14">
        <v>34</v>
      </c>
      <c r="G14">
        <v>710</v>
      </c>
      <c r="H14">
        <v>0</v>
      </c>
      <c r="I14">
        <v>0</v>
      </c>
      <c r="J14">
        <v>710</v>
      </c>
    </row>
    <row r="15" spans="1:10" x14ac:dyDescent="0.3">
      <c r="A15">
        <v>11</v>
      </c>
      <c r="B15" t="s">
        <v>18</v>
      </c>
      <c r="C15">
        <v>2</v>
      </c>
      <c r="D15">
        <v>0</v>
      </c>
      <c r="E15">
        <v>0</v>
      </c>
      <c r="F15">
        <v>2</v>
      </c>
      <c r="G15">
        <v>75</v>
      </c>
      <c r="H15">
        <v>0</v>
      </c>
      <c r="I15">
        <v>0</v>
      </c>
      <c r="J15">
        <v>75</v>
      </c>
    </row>
    <row r="16" spans="1:10" x14ac:dyDescent="0.3">
      <c r="A16">
        <v>12</v>
      </c>
      <c r="B16" t="s">
        <v>19</v>
      </c>
      <c r="C16">
        <v>1</v>
      </c>
      <c r="D16">
        <v>4</v>
      </c>
      <c r="E16">
        <v>0</v>
      </c>
      <c r="F16">
        <v>5</v>
      </c>
      <c r="G16">
        <v>50</v>
      </c>
      <c r="H16">
        <v>300</v>
      </c>
      <c r="I16">
        <v>0</v>
      </c>
      <c r="J16">
        <v>350</v>
      </c>
    </row>
    <row r="17" spans="1:10" x14ac:dyDescent="0.3">
      <c r="A17">
        <v>13</v>
      </c>
      <c r="B17" t="s">
        <v>20</v>
      </c>
      <c r="C17">
        <v>156</v>
      </c>
      <c r="D17">
        <v>0</v>
      </c>
      <c r="E17">
        <v>57</v>
      </c>
      <c r="F17">
        <v>213</v>
      </c>
      <c r="G17">
        <v>2455</v>
      </c>
      <c r="H17">
        <v>0</v>
      </c>
      <c r="I17">
        <v>7740</v>
      </c>
      <c r="J17">
        <v>10195</v>
      </c>
    </row>
    <row r="18" spans="1:10" x14ac:dyDescent="0.3">
      <c r="A18">
        <v>14</v>
      </c>
      <c r="B18" t="s">
        <v>21</v>
      </c>
      <c r="C18">
        <v>162</v>
      </c>
      <c r="D18">
        <v>0</v>
      </c>
      <c r="E18">
        <v>0</v>
      </c>
      <c r="F18">
        <v>162</v>
      </c>
      <c r="G18">
        <v>4054</v>
      </c>
      <c r="H18">
        <v>0</v>
      </c>
      <c r="I18">
        <v>0</v>
      </c>
      <c r="J18">
        <v>4054</v>
      </c>
    </row>
    <row r="19" spans="1:10" x14ac:dyDescent="0.3">
      <c r="A19">
        <v>15</v>
      </c>
      <c r="B19" t="s">
        <v>22</v>
      </c>
      <c r="C19">
        <v>23</v>
      </c>
      <c r="D19">
        <v>0</v>
      </c>
      <c r="E19">
        <v>0</v>
      </c>
      <c r="F19">
        <v>23</v>
      </c>
      <c r="G19">
        <v>690</v>
      </c>
      <c r="H19">
        <v>0</v>
      </c>
      <c r="I19">
        <v>0</v>
      </c>
      <c r="J19">
        <v>690</v>
      </c>
    </row>
    <row r="20" spans="1:10" x14ac:dyDescent="0.3">
      <c r="A20">
        <v>16</v>
      </c>
      <c r="B20" t="s">
        <v>23</v>
      </c>
      <c r="C20">
        <v>5</v>
      </c>
      <c r="D20">
        <v>0</v>
      </c>
      <c r="E20">
        <v>66</v>
      </c>
      <c r="F20">
        <v>71</v>
      </c>
      <c r="G20">
        <v>812</v>
      </c>
      <c r="H20">
        <v>0</v>
      </c>
      <c r="I20">
        <v>8024</v>
      </c>
      <c r="J20">
        <v>8836</v>
      </c>
    </row>
    <row r="21" spans="1:10" x14ac:dyDescent="0.3">
      <c r="A21">
        <v>17</v>
      </c>
      <c r="B21" t="s">
        <v>24</v>
      </c>
      <c r="C21">
        <v>10</v>
      </c>
      <c r="D21">
        <v>0</v>
      </c>
      <c r="E21">
        <v>0</v>
      </c>
      <c r="F21">
        <v>10</v>
      </c>
      <c r="G21">
        <v>0</v>
      </c>
      <c r="H21">
        <v>0</v>
      </c>
      <c r="I21">
        <v>0</v>
      </c>
      <c r="J21">
        <v>0</v>
      </c>
    </row>
    <row r="22" spans="1:10" x14ac:dyDescent="0.3">
      <c r="A22">
        <v>18</v>
      </c>
      <c r="B22" t="s">
        <v>25</v>
      </c>
      <c r="C22">
        <v>10</v>
      </c>
      <c r="D22">
        <v>0</v>
      </c>
      <c r="E22">
        <v>0</v>
      </c>
      <c r="F22">
        <v>10</v>
      </c>
      <c r="G22">
        <v>100</v>
      </c>
      <c r="H22">
        <v>0</v>
      </c>
      <c r="I22">
        <v>0</v>
      </c>
      <c r="J22">
        <v>100</v>
      </c>
    </row>
    <row r="23" spans="1:10" x14ac:dyDescent="0.3">
      <c r="A23">
        <v>19</v>
      </c>
      <c r="B23" t="s">
        <v>26</v>
      </c>
      <c r="C23">
        <v>2</v>
      </c>
      <c r="D23">
        <v>0</v>
      </c>
      <c r="E23">
        <v>0</v>
      </c>
      <c r="F23">
        <v>2</v>
      </c>
      <c r="G23">
        <v>100</v>
      </c>
      <c r="H23">
        <v>0</v>
      </c>
      <c r="I23">
        <v>0</v>
      </c>
      <c r="J23">
        <v>100</v>
      </c>
    </row>
    <row r="24" spans="1:10" x14ac:dyDescent="0.3">
      <c r="A24">
        <v>20</v>
      </c>
      <c r="B24" t="s">
        <v>27</v>
      </c>
      <c r="C24">
        <v>2</v>
      </c>
      <c r="D24">
        <v>0</v>
      </c>
      <c r="E24">
        <v>0</v>
      </c>
      <c r="F24">
        <v>2</v>
      </c>
      <c r="G24">
        <v>10</v>
      </c>
      <c r="H24">
        <v>0</v>
      </c>
      <c r="I24">
        <v>0</v>
      </c>
      <c r="J24">
        <v>10</v>
      </c>
    </row>
    <row r="25" spans="1:10" x14ac:dyDescent="0.3">
      <c r="A25">
        <v>21</v>
      </c>
      <c r="B25" t="s">
        <v>28</v>
      </c>
      <c r="C25">
        <v>9</v>
      </c>
      <c r="D25">
        <v>0</v>
      </c>
      <c r="E25">
        <v>5</v>
      </c>
      <c r="F25">
        <v>14</v>
      </c>
      <c r="G25">
        <v>593</v>
      </c>
      <c r="H25">
        <v>0</v>
      </c>
      <c r="I25">
        <v>310</v>
      </c>
      <c r="J25">
        <v>903</v>
      </c>
    </row>
    <row r="26" spans="1:10" x14ac:dyDescent="0.3">
      <c r="A26">
        <v>22</v>
      </c>
      <c r="B26" t="s">
        <v>29</v>
      </c>
      <c r="C26">
        <v>5</v>
      </c>
      <c r="D26">
        <v>0</v>
      </c>
      <c r="E26">
        <v>4</v>
      </c>
      <c r="F26">
        <v>9</v>
      </c>
      <c r="G26">
        <v>100</v>
      </c>
      <c r="H26">
        <v>0</v>
      </c>
      <c r="I26">
        <v>108</v>
      </c>
      <c r="J26">
        <v>208</v>
      </c>
    </row>
    <row r="27" spans="1:10" x14ac:dyDescent="0.3">
      <c r="A27">
        <v>23</v>
      </c>
      <c r="B27" t="s">
        <v>30</v>
      </c>
      <c r="C27">
        <v>137</v>
      </c>
      <c r="D27">
        <v>0</v>
      </c>
      <c r="E27">
        <v>0</v>
      </c>
      <c r="F27">
        <v>137</v>
      </c>
      <c r="G27">
        <v>1391</v>
      </c>
      <c r="H27">
        <v>0</v>
      </c>
      <c r="I27">
        <v>0</v>
      </c>
      <c r="J27">
        <v>1391</v>
      </c>
    </row>
    <row r="28" spans="1:10" x14ac:dyDescent="0.3">
      <c r="A28">
        <v>24</v>
      </c>
      <c r="B28" t="s">
        <v>31</v>
      </c>
      <c r="C28">
        <v>1</v>
      </c>
      <c r="D28">
        <v>0</v>
      </c>
      <c r="E28">
        <v>0</v>
      </c>
      <c r="F28">
        <v>1</v>
      </c>
      <c r="G28">
        <v>10</v>
      </c>
      <c r="H28">
        <v>0</v>
      </c>
      <c r="I28">
        <v>0</v>
      </c>
      <c r="J28">
        <v>10</v>
      </c>
    </row>
    <row r="29" spans="1:10" x14ac:dyDescent="0.3">
      <c r="A29">
        <v>25</v>
      </c>
      <c r="B29" t="s">
        <v>32</v>
      </c>
      <c r="C29">
        <v>293</v>
      </c>
      <c r="D29">
        <v>0</v>
      </c>
      <c r="E29">
        <v>0</v>
      </c>
      <c r="F29">
        <v>293</v>
      </c>
      <c r="G29">
        <v>2381</v>
      </c>
      <c r="H29">
        <v>0</v>
      </c>
      <c r="I29">
        <v>0</v>
      </c>
      <c r="J29">
        <v>2381</v>
      </c>
    </row>
    <row r="30" spans="1:10" x14ac:dyDescent="0.3">
      <c r="A30">
        <v>26</v>
      </c>
      <c r="B30" t="s">
        <v>33</v>
      </c>
      <c r="C30">
        <v>4</v>
      </c>
      <c r="D30">
        <v>0</v>
      </c>
      <c r="E30">
        <v>0</v>
      </c>
      <c r="F30">
        <v>4</v>
      </c>
      <c r="G30">
        <v>60</v>
      </c>
      <c r="H30">
        <v>0</v>
      </c>
      <c r="I30">
        <v>0</v>
      </c>
      <c r="J30">
        <v>60</v>
      </c>
    </row>
    <row r="31" spans="1:10" x14ac:dyDescent="0.3">
      <c r="A31">
        <v>27</v>
      </c>
      <c r="B31" t="s">
        <v>34</v>
      </c>
      <c r="C31">
        <v>2315</v>
      </c>
      <c r="D31">
        <v>0</v>
      </c>
      <c r="E31">
        <v>1</v>
      </c>
      <c r="F31">
        <v>2316</v>
      </c>
      <c r="G31">
        <v>11361</v>
      </c>
      <c r="H31">
        <v>0</v>
      </c>
      <c r="I31">
        <v>100</v>
      </c>
      <c r="J31">
        <v>11461</v>
      </c>
    </row>
    <row r="32" spans="1:10" x14ac:dyDescent="0.3">
      <c r="A32">
        <v>28</v>
      </c>
      <c r="B32" t="s">
        <v>35</v>
      </c>
      <c r="C32">
        <v>404</v>
      </c>
      <c r="D32">
        <v>0</v>
      </c>
      <c r="E32">
        <v>1</v>
      </c>
      <c r="F32">
        <v>405</v>
      </c>
      <c r="G32">
        <v>2023</v>
      </c>
      <c r="H32">
        <v>0</v>
      </c>
      <c r="I32">
        <v>50</v>
      </c>
      <c r="J32">
        <v>2073</v>
      </c>
    </row>
    <row r="33" spans="1:10" x14ac:dyDescent="0.3">
      <c r="A33">
        <v>29</v>
      </c>
      <c r="B33" t="s">
        <v>36</v>
      </c>
      <c r="C33">
        <v>11</v>
      </c>
      <c r="D33">
        <v>0</v>
      </c>
      <c r="E33">
        <v>11</v>
      </c>
      <c r="F33">
        <v>22</v>
      </c>
      <c r="G33">
        <v>530</v>
      </c>
      <c r="H33">
        <v>0</v>
      </c>
      <c r="I33">
        <v>620</v>
      </c>
      <c r="J33">
        <v>1150</v>
      </c>
    </row>
    <row r="34" spans="1:10" x14ac:dyDescent="0.3">
      <c r="A34">
        <v>30</v>
      </c>
      <c r="B34" t="s">
        <v>37</v>
      </c>
      <c r="C34">
        <v>5</v>
      </c>
      <c r="D34">
        <v>0</v>
      </c>
      <c r="E34">
        <v>0</v>
      </c>
      <c r="F34">
        <v>5</v>
      </c>
      <c r="G34">
        <v>90</v>
      </c>
      <c r="H34">
        <v>0</v>
      </c>
      <c r="I34">
        <v>0</v>
      </c>
      <c r="J34">
        <v>90</v>
      </c>
    </row>
    <row r="35" spans="1:10" x14ac:dyDescent="0.3">
      <c r="A35">
        <v>31</v>
      </c>
      <c r="B35" t="s">
        <v>38</v>
      </c>
      <c r="C35">
        <v>0</v>
      </c>
      <c r="D35">
        <v>0</v>
      </c>
      <c r="E35">
        <v>2</v>
      </c>
      <c r="F35">
        <v>2</v>
      </c>
      <c r="G35">
        <v>0</v>
      </c>
      <c r="H35">
        <v>0</v>
      </c>
      <c r="I35">
        <v>80</v>
      </c>
      <c r="J35">
        <v>80</v>
      </c>
    </row>
    <row r="36" spans="1:10" x14ac:dyDescent="0.3">
      <c r="A36">
        <v>32</v>
      </c>
      <c r="B36" t="s">
        <v>39</v>
      </c>
      <c r="C36">
        <v>0</v>
      </c>
      <c r="D36">
        <v>0</v>
      </c>
      <c r="E36">
        <v>0</v>
      </c>
      <c r="F36">
        <v>0</v>
      </c>
      <c r="G36">
        <v>0</v>
      </c>
      <c r="H36">
        <v>0</v>
      </c>
      <c r="I36">
        <v>0</v>
      </c>
      <c r="J36">
        <v>0</v>
      </c>
    </row>
    <row r="37" spans="1:10" x14ac:dyDescent="0.3">
      <c r="A37">
        <v>33</v>
      </c>
      <c r="B37" t="s">
        <v>40</v>
      </c>
      <c r="C37">
        <v>2</v>
      </c>
      <c r="D37">
        <v>0</v>
      </c>
      <c r="E37">
        <v>0</v>
      </c>
      <c r="F37">
        <v>2</v>
      </c>
      <c r="G37">
        <v>20</v>
      </c>
      <c r="H37">
        <v>0</v>
      </c>
      <c r="I37">
        <v>0</v>
      </c>
      <c r="J37">
        <v>20</v>
      </c>
    </row>
    <row r="38" spans="1:10" x14ac:dyDescent="0.3">
      <c r="A38">
        <v>34</v>
      </c>
      <c r="B38" t="s">
        <v>41</v>
      </c>
      <c r="C38">
        <v>0</v>
      </c>
      <c r="D38">
        <v>0</v>
      </c>
      <c r="E38">
        <v>0</v>
      </c>
      <c r="F38">
        <v>0</v>
      </c>
      <c r="G38">
        <v>0</v>
      </c>
      <c r="H38">
        <v>0</v>
      </c>
      <c r="I38">
        <v>0</v>
      </c>
      <c r="J38">
        <v>0</v>
      </c>
    </row>
    <row r="39" spans="1:10" x14ac:dyDescent="0.3">
      <c r="A39">
        <v>35</v>
      </c>
      <c r="B39" t="s">
        <v>42</v>
      </c>
      <c r="C39">
        <v>0</v>
      </c>
      <c r="D39">
        <v>0</v>
      </c>
      <c r="E39">
        <v>0</v>
      </c>
      <c r="F39">
        <v>0</v>
      </c>
      <c r="G39">
        <v>0</v>
      </c>
      <c r="H39">
        <v>0</v>
      </c>
      <c r="I39">
        <v>0</v>
      </c>
      <c r="J39">
        <v>0</v>
      </c>
    </row>
    <row r="40" spans="1:10" x14ac:dyDescent="0.3">
      <c r="A40">
        <v>36</v>
      </c>
      <c r="B40" t="s">
        <v>43</v>
      </c>
      <c r="C40">
        <v>20</v>
      </c>
      <c r="D40">
        <v>0</v>
      </c>
      <c r="E40">
        <v>0</v>
      </c>
      <c r="F40">
        <v>20</v>
      </c>
      <c r="G40">
        <v>841</v>
      </c>
      <c r="H40">
        <v>0</v>
      </c>
      <c r="I40">
        <v>0</v>
      </c>
      <c r="J40">
        <v>841</v>
      </c>
    </row>
    <row r="41" spans="1:10" x14ac:dyDescent="0.3">
      <c r="B41" t="s">
        <v>44</v>
      </c>
      <c r="C41">
        <v>3694</v>
      </c>
      <c r="D41">
        <v>35</v>
      </c>
      <c r="E41">
        <v>164</v>
      </c>
      <c r="F41">
        <v>3893</v>
      </c>
      <c r="G41">
        <v>32476</v>
      </c>
      <c r="H41">
        <v>2213</v>
      </c>
      <c r="I41">
        <v>18337</v>
      </c>
      <c r="J41">
        <v>53026</v>
      </c>
    </row>
    <row r="42" spans="1:10" ht="100.8" x14ac:dyDescent="0.3">
      <c r="A42" s="1" t="s">
        <v>45</v>
      </c>
      <c r="C42">
        <v>50</v>
      </c>
      <c r="D42">
        <v>0</v>
      </c>
      <c r="E42">
        <v>0</v>
      </c>
      <c r="F42">
        <v>50</v>
      </c>
      <c r="G42">
        <v>2216</v>
      </c>
      <c r="H42">
        <v>0</v>
      </c>
      <c r="I42">
        <v>0</v>
      </c>
      <c r="J42">
        <v>2216</v>
      </c>
    </row>
    <row r="43" spans="1:10" x14ac:dyDescent="0.3">
      <c r="A43" t="s">
        <v>46</v>
      </c>
      <c r="C43">
        <v>3744</v>
      </c>
      <c r="D43">
        <v>35</v>
      </c>
      <c r="E43">
        <v>164</v>
      </c>
      <c r="F43">
        <v>3943</v>
      </c>
      <c r="G43">
        <v>34692</v>
      </c>
      <c r="H43">
        <v>2213</v>
      </c>
      <c r="I43">
        <v>18337</v>
      </c>
      <c r="J43">
        <v>55242</v>
      </c>
    </row>
    <row r="44" spans="1:10" x14ac:dyDescent="0.3">
      <c r="A44" t="s">
        <v>47</v>
      </c>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28321D-A75D-4533-933E-54EB418C8310}">
  <dimension ref="A1"/>
  <sheetViews>
    <sheetView workbookViewId="0"/>
  </sheetViews>
  <sheetFormatPr defaultRowHeight="14.4" x14ac:dyDescent="0.3"/>
  <cols>
    <col min="1" max="1" width="8.88671875" customWidth="1"/>
    <col min="21" max="23" width="8.88671875" customWidth="1"/>
  </cols>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7CB85D9-3761-4B18-AA5E-35BE5D823D1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All Cleaned Data</vt:lpstr>
      <vt:lpstr>Analysis</vt:lpstr>
      <vt:lpstr>BRD</vt:lpstr>
      <vt:lpstr>Dashboard</vt:lpstr>
      <vt:lpstr>Doctors_Count1</vt:lpstr>
      <vt:lpstr>Dengue_Cases (2)</vt:lpstr>
      <vt:lpstr>Dengue_Cases</vt:lpstr>
      <vt:lpstr>Pivot</vt:lpstr>
      <vt:lpstr>Pivot2</vt:lpstr>
      <vt:lpstr>Population (2)</vt:lpstr>
      <vt:lpstr>Population</vt:lpstr>
      <vt:lpstr>Table1_1 (3)</vt:lpstr>
      <vt:lpstr>State_mapping</vt:lpstr>
      <vt:lpstr>Hospitals_Beds_Count</vt:lpstr>
      <vt:lpstr>Table1</vt:lpstr>
      <vt:lpstr>Hospitals_and_beds in India</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zarna Mehta</dc:creator>
  <cp:lastModifiedBy>zarna Mehta</cp:lastModifiedBy>
  <dcterms:created xsi:type="dcterms:W3CDTF">2026-01-26T16:25:04Z</dcterms:created>
  <dcterms:modified xsi:type="dcterms:W3CDTF">2026-03-27T08:47:17Z</dcterms:modified>
</cp:coreProperties>
</file>